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ie_a0\Documents\MA\"/>
    </mc:Choice>
  </mc:AlternateContent>
  <xr:revisionPtr revIDLastSave="0" documentId="13_ncr:1_{8CFA239B-166C-4E9A-8EA4-05C231B28B2A}" xr6:coauthVersionLast="47" xr6:coauthVersionMax="47" xr10:uidLastSave="{00000000-0000-0000-0000-000000000000}"/>
  <bookViews>
    <workbookView xWindow="10" yWindow="10" windowWidth="19180" windowHeight="10060" xr2:uid="{BCBA10A0-65DD-406E-B363-4D9E53A4379C}"/>
  </bookViews>
  <sheets>
    <sheet name="Training" sheetId="5" r:id="rId1"/>
    <sheet name="PrePO" sheetId="1" r:id="rId2"/>
    <sheet name="PostPO" sheetId="2" r:id="rId3"/>
    <sheet name="Generator Settings" sheetId="3" r:id="rId4"/>
    <sheet name="Tim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1" l="1"/>
  <c r="D18" i="1"/>
  <c r="C18" i="1"/>
  <c r="G18" i="1"/>
  <c r="F18" i="1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18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19" i="3"/>
  <c r="D19" i="1"/>
  <c r="C19" i="1"/>
  <c r="G64" i="2"/>
  <c r="H64" i="2"/>
  <c r="G63" i="2"/>
  <c r="H63" i="2"/>
  <c r="D64" i="2"/>
  <c r="E64" i="2"/>
  <c r="E63" i="2"/>
  <c r="D63" i="2"/>
  <c r="C64" i="2"/>
  <c r="C63" i="2"/>
  <c r="D20" i="1"/>
  <c r="C20" i="1"/>
</calcChain>
</file>

<file path=xl/sharedStrings.xml><?xml version="1.0" encoding="utf-8"?>
<sst xmlns="http://schemas.openxmlformats.org/spreadsheetml/2006/main" count="166" uniqueCount="60">
  <si>
    <t>Trial</t>
  </si>
  <si>
    <t>Total n of Symbols</t>
  </si>
  <si>
    <t>N of Targets</t>
  </si>
  <si>
    <t>N of Misses</t>
  </si>
  <si>
    <t>N of FAs</t>
  </si>
  <si>
    <t>Agent's verdict</t>
  </si>
  <si>
    <t>Pass</t>
  </si>
  <si>
    <t>Reject</t>
  </si>
  <si>
    <t>Stimulus Generator</t>
  </si>
  <si>
    <t>Experiment's Code / Ground Truth Log</t>
  </si>
  <si>
    <t>M</t>
  </si>
  <si>
    <t>SD</t>
  </si>
  <si>
    <t>Agent's verdict (based on D)</t>
  </si>
  <si>
    <t>N of Targets marked by agent (Hits)</t>
  </si>
  <si>
    <t>N of Symbols marked by agent (Hits + FAs)</t>
  </si>
  <si>
    <t>wrong verdict (overreliance probe trials)</t>
  </si>
  <si>
    <t>1/3 wrong</t>
  </si>
  <si>
    <t>Pre 1</t>
  </si>
  <si>
    <t>Pre 2</t>
  </si>
  <si>
    <t>Pre 3</t>
  </si>
  <si>
    <t>Pre 4</t>
  </si>
  <si>
    <t>Pre 5</t>
  </si>
  <si>
    <t>Pre 6</t>
  </si>
  <si>
    <t>Pre 7</t>
  </si>
  <si>
    <t>Pre 8</t>
  </si>
  <si>
    <t>Pre 9</t>
  </si>
  <si>
    <t>Pre 10</t>
  </si>
  <si>
    <t>Pre 11</t>
  </si>
  <si>
    <t>Pre 12</t>
  </si>
  <si>
    <t>Pre 13</t>
  </si>
  <si>
    <t>Pre 14</t>
  </si>
  <si>
    <t>Pre 15</t>
  </si>
  <si>
    <t>Small Size</t>
  </si>
  <si>
    <t>Large Size</t>
  </si>
  <si>
    <t>Stroke Width</t>
  </si>
  <si>
    <t>Min Dist.</t>
  </si>
  <si>
    <t>Add. Target on Dark Prob.</t>
  </si>
  <si>
    <t>Dark P. Threshold (?)</t>
  </si>
  <si>
    <t>.80</t>
  </si>
  <si>
    <t>Low pred.: 50% errors on orange, 50% on blue, letters random, not more than 3 same category colors or letters in a row</t>
  </si>
  <si>
    <t>High pred.: Errors on orange Elements only, letters random, not more than 3 same category letters in a row</t>
  </si>
  <si>
    <t>High pred.: Errors on orange Elements only, letters, size and background random, not more than 3 same category letters or sizes in a row</t>
  </si>
  <si>
    <t>Low pred.: 50% errors on orange, 50% on blue, letters random, not more than 3 same category colors, letters or sizes in a row</t>
  </si>
  <si>
    <t>Total Ts and Ls</t>
  </si>
  <si>
    <t>Orange</t>
  </si>
  <si>
    <t>Total Os and Qs</t>
  </si>
  <si>
    <t xml:space="preserve">Orange </t>
  </si>
  <si>
    <t>Ls</t>
  </si>
  <si>
    <t>Os</t>
  </si>
  <si>
    <t>Pre 16</t>
  </si>
  <si>
    <t>Page (PP Dummy)</t>
  </si>
  <si>
    <t>x</t>
  </si>
  <si>
    <t>No time limit (until click)</t>
  </si>
  <si>
    <t>dark - UL - large - L</t>
  </si>
  <si>
    <t>dark - UL - large - O</t>
  </si>
  <si>
    <t>dark - UL - small - L</t>
  </si>
  <si>
    <t>dark - UL - small - O</t>
  </si>
  <si>
    <t>15ms per customizable step -&gt; 4s for all (too long?)</t>
  </si>
  <si>
    <t>.50</t>
  </si>
  <si>
    <t>N of Symbols identified by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</si>
</sst>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ADA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CF2F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2" borderId="0" xfId="0" applyFill="1" applyBorder="1"/>
    <xf numFmtId="0" fontId="0" fillId="0" borderId="0" xfId="0" applyBorder="1"/>
    <xf numFmtId="0" fontId="0" fillId="0" borderId="0" xfId="0" applyFill="1" applyBorder="1"/>
    <xf numFmtId="0" fontId="0" fillId="3" borderId="0" xfId="0" applyFill="1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4" borderId="0" xfId="0" applyFill="1" applyBorder="1"/>
    <xf numFmtId="0" fontId="0" fillId="0" borderId="0" xfId="0" applyAlignment="1">
      <alignment horizontal="left"/>
    </xf>
    <xf numFmtId="0" fontId="1" fillId="0" borderId="0" xfId="0" applyFont="1" applyBorder="1"/>
    <xf numFmtId="0" fontId="3" fillId="0" borderId="0" xfId="0" applyFont="1" applyBorder="1"/>
    <xf numFmtId="0" fontId="1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0" borderId="0" xfId="0" applyAlignment="1">
      <alignment vertical="center"/>
    </xf>
    <xf numFmtId="0" fontId="0" fillId="7" borderId="1" xfId="0" applyFill="1" applyBorder="1" applyAlignment="1">
      <alignment wrapText="1"/>
    </xf>
    <xf numFmtId="0" fontId="0" fillId="7" borderId="0" xfId="0" applyFill="1"/>
    <xf numFmtId="0" fontId="0" fillId="5" borderId="1" xfId="0" applyFill="1" applyBorder="1"/>
    <xf numFmtId="0" fontId="0" fillId="6" borderId="1" xfId="0" applyFill="1" applyBorder="1" applyAlignment="1">
      <alignment wrapText="1"/>
    </xf>
    <xf numFmtId="9" fontId="0" fillId="0" borderId="0" xfId="0" applyNumberFormat="1"/>
    <xf numFmtId="0" fontId="0" fillId="5" borderId="1" xfId="0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6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9" fontId="0" fillId="0" borderId="0" xfId="0" applyNumberFormat="1" applyFill="1"/>
    <xf numFmtId="0" fontId="0" fillId="0" borderId="0" xfId="0" applyAlignment="1">
      <alignment horizontal="center"/>
    </xf>
  </cellXfs>
  <cellStyles count="1">
    <cellStyle name="Standard" xfId="0" builtinId="0"/>
  </cellStyles>
  <dxfs count="4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7ADAD"/>
        </patternFill>
      </fill>
    </dxf>
  </dxfs>
  <tableStyles count="0" defaultTableStyle="TableStyleMedium2" defaultPivotStyle="PivotStyleLight16"/>
  <colors>
    <mruColors>
      <color rgb="FFBCF2F1"/>
      <color rgb="FFFFB13F"/>
      <color rgb="FFF7ADAD"/>
      <color rgb="FFF18B83"/>
      <color rgb="FFEE95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6FD6-F608-44CD-A9B9-ECF39722DBD4}">
  <dimension ref="A1:C6"/>
  <sheetViews>
    <sheetView tabSelected="1" workbookViewId="0">
      <selection activeCell="C11" sqref="C11"/>
    </sheetView>
  </sheetViews>
  <sheetFormatPr baseColWidth="10" defaultRowHeight="14.5" x14ac:dyDescent="0.35"/>
  <cols>
    <col min="2" max="2" width="22.81640625" customWidth="1"/>
    <col min="3" max="3" width="28.1796875" customWidth="1"/>
  </cols>
  <sheetData>
    <row r="1" spans="1:3" x14ac:dyDescent="0.35">
      <c r="A1" s="18" t="s">
        <v>0</v>
      </c>
      <c r="B1" s="29" t="s">
        <v>1</v>
      </c>
      <c r="C1" s="29" t="s">
        <v>2</v>
      </c>
    </row>
    <row r="2" spans="1:3" x14ac:dyDescent="0.35">
      <c r="A2" s="4">
        <v>1</v>
      </c>
      <c r="B2" s="5">
        <v>40</v>
      </c>
      <c r="C2" s="5">
        <v>8</v>
      </c>
    </row>
    <row r="3" spans="1:3" x14ac:dyDescent="0.35">
      <c r="A3" s="4">
        <v>2</v>
      </c>
      <c r="B3" s="5">
        <v>40</v>
      </c>
      <c r="C3" s="5">
        <v>11</v>
      </c>
    </row>
    <row r="4" spans="1:3" x14ac:dyDescent="0.35">
      <c r="A4" s="4">
        <v>3</v>
      </c>
      <c r="B4" s="5">
        <v>40</v>
      </c>
      <c r="C4" s="5">
        <v>12</v>
      </c>
    </row>
    <row r="5" spans="1:3" x14ac:dyDescent="0.35">
      <c r="A5" s="4">
        <v>4</v>
      </c>
      <c r="B5" s="5">
        <v>40</v>
      </c>
      <c r="C5" s="5">
        <v>9</v>
      </c>
    </row>
    <row r="6" spans="1:3" x14ac:dyDescent="0.35">
      <c r="A6" s="4">
        <v>5</v>
      </c>
      <c r="B6" s="5">
        <v>40</v>
      </c>
      <c r="C6" s="5">
        <v>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6190-0D64-484D-ACE1-E64EFE7C1C9B}">
  <dimension ref="A1:I26"/>
  <sheetViews>
    <sheetView zoomScale="98" zoomScaleNormal="98" workbookViewId="0">
      <selection sqref="A1:C6"/>
    </sheetView>
  </sheetViews>
  <sheetFormatPr baseColWidth="10" defaultRowHeight="14.5" x14ac:dyDescent="0.35"/>
  <cols>
    <col min="1" max="1" width="4.453125" bestFit="1" customWidth="1"/>
    <col min="2" max="2" width="20.453125" customWidth="1"/>
    <col min="3" max="4" width="21.54296875" customWidth="1"/>
    <col min="5" max="5" width="22" customWidth="1"/>
    <col min="6" max="6" width="10.81640625" customWidth="1"/>
    <col min="7" max="7" width="10.453125" customWidth="1"/>
    <col min="8" max="8" width="21.81640625" customWidth="1"/>
  </cols>
  <sheetData>
    <row r="1" spans="1:9" s="1" customFormat="1" ht="29" x14ac:dyDescent="0.35">
      <c r="A1" s="18" t="s">
        <v>0</v>
      </c>
      <c r="B1" s="29" t="s">
        <v>1</v>
      </c>
      <c r="C1" s="29" t="s">
        <v>2</v>
      </c>
      <c r="D1" s="30" t="s">
        <v>59</v>
      </c>
      <c r="E1" s="30" t="s">
        <v>5</v>
      </c>
      <c r="F1" s="27" t="s">
        <v>3</v>
      </c>
      <c r="G1" s="27" t="s">
        <v>4</v>
      </c>
      <c r="H1" s="2"/>
    </row>
    <row r="2" spans="1:9" x14ac:dyDescent="0.35">
      <c r="A2" s="4">
        <v>1</v>
      </c>
      <c r="B2" s="5">
        <v>14</v>
      </c>
      <c r="C2" s="5">
        <v>8</v>
      </c>
      <c r="D2" s="5">
        <v>8</v>
      </c>
      <c r="E2" s="9" t="s">
        <v>6</v>
      </c>
      <c r="F2" s="4">
        <v>0</v>
      </c>
      <c r="G2" s="4">
        <v>0</v>
      </c>
      <c r="H2" s="4"/>
      <c r="I2" s="28" t="s">
        <v>41</v>
      </c>
    </row>
    <row r="3" spans="1:9" x14ac:dyDescent="0.35">
      <c r="A3" s="4">
        <v>2</v>
      </c>
      <c r="B3" s="5">
        <v>14</v>
      </c>
      <c r="C3" s="5">
        <v>5</v>
      </c>
      <c r="D3" s="5">
        <v>4</v>
      </c>
      <c r="E3" s="9" t="s">
        <v>6</v>
      </c>
      <c r="F3" s="5">
        <v>1</v>
      </c>
      <c r="G3" s="4">
        <v>0</v>
      </c>
      <c r="H3" s="4"/>
      <c r="I3" s="28" t="s">
        <v>42</v>
      </c>
    </row>
    <row r="4" spans="1:9" x14ac:dyDescent="0.35">
      <c r="A4" s="4">
        <v>3</v>
      </c>
      <c r="B4" s="5">
        <v>16</v>
      </c>
      <c r="C4" s="5">
        <v>12</v>
      </c>
      <c r="D4" s="5">
        <v>11</v>
      </c>
      <c r="E4" s="9" t="s">
        <v>7</v>
      </c>
      <c r="F4" s="4">
        <v>1</v>
      </c>
      <c r="G4" s="4">
        <v>0</v>
      </c>
      <c r="H4" s="4"/>
    </row>
    <row r="5" spans="1:9" x14ac:dyDescent="0.35">
      <c r="A5" s="4">
        <v>4</v>
      </c>
      <c r="B5" s="5">
        <v>18</v>
      </c>
      <c r="C5" s="5">
        <v>9</v>
      </c>
      <c r="D5" s="5">
        <v>10</v>
      </c>
      <c r="E5" s="9" t="s">
        <v>6</v>
      </c>
      <c r="F5" s="4">
        <v>0</v>
      </c>
      <c r="G5" s="5">
        <v>1</v>
      </c>
      <c r="H5" s="4"/>
    </row>
    <row r="6" spans="1:9" x14ac:dyDescent="0.35">
      <c r="A6" s="4">
        <v>5</v>
      </c>
      <c r="B6" s="5">
        <v>20</v>
      </c>
      <c r="C6" s="5">
        <v>7</v>
      </c>
      <c r="D6" s="5">
        <v>5</v>
      </c>
      <c r="E6" s="9" t="s">
        <v>6</v>
      </c>
      <c r="F6" s="4">
        <v>2</v>
      </c>
      <c r="G6" s="4">
        <v>0</v>
      </c>
      <c r="H6" s="4"/>
    </row>
    <row r="7" spans="1:9" x14ac:dyDescent="0.35">
      <c r="A7" s="4">
        <v>6</v>
      </c>
      <c r="B7" s="5">
        <v>22</v>
      </c>
      <c r="C7" s="5">
        <v>9</v>
      </c>
      <c r="D7" s="5">
        <v>9</v>
      </c>
      <c r="E7" s="9" t="s">
        <v>6</v>
      </c>
      <c r="F7" s="4">
        <v>0</v>
      </c>
      <c r="G7" s="4">
        <v>0</v>
      </c>
      <c r="H7" s="4"/>
    </row>
    <row r="8" spans="1:9" x14ac:dyDescent="0.35">
      <c r="A8" s="4">
        <v>7</v>
      </c>
      <c r="B8" s="5">
        <v>24</v>
      </c>
      <c r="C8" s="5">
        <v>13</v>
      </c>
      <c r="D8" s="5">
        <v>14</v>
      </c>
      <c r="E8" s="9" t="s">
        <v>7</v>
      </c>
      <c r="F8" s="4">
        <v>0</v>
      </c>
      <c r="G8" s="4">
        <v>1</v>
      </c>
      <c r="H8" s="4"/>
    </row>
    <row r="9" spans="1:9" x14ac:dyDescent="0.35">
      <c r="A9" s="4">
        <v>8</v>
      </c>
      <c r="B9" s="5">
        <v>26</v>
      </c>
      <c r="C9" s="5">
        <v>13</v>
      </c>
      <c r="D9" s="5">
        <v>14</v>
      </c>
      <c r="E9" s="9" t="s">
        <v>7</v>
      </c>
      <c r="F9" s="4">
        <v>1</v>
      </c>
      <c r="G9" s="4">
        <v>2</v>
      </c>
      <c r="H9" s="4"/>
    </row>
    <row r="10" spans="1:9" x14ac:dyDescent="0.35">
      <c r="A10" s="4">
        <v>9</v>
      </c>
      <c r="B10" s="5">
        <v>29</v>
      </c>
      <c r="C10" s="5">
        <v>15</v>
      </c>
      <c r="D10" s="5">
        <v>15</v>
      </c>
      <c r="E10" s="9" t="s">
        <v>7</v>
      </c>
      <c r="F10" s="4">
        <v>0</v>
      </c>
      <c r="G10" s="4">
        <v>0</v>
      </c>
      <c r="H10" s="4"/>
    </row>
    <row r="11" spans="1:9" x14ac:dyDescent="0.35">
      <c r="A11" s="4">
        <v>10</v>
      </c>
      <c r="B11" s="5">
        <v>32</v>
      </c>
      <c r="C11" s="5">
        <v>10</v>
      </c>
      <c r="D11" s="5">
        <v>9</v>
      </c>
      <c r="E11" s="9" t="s">
        <v>6</v>
      </c>
      <c r="F11" s="4">
        <v>1</v>
      </c>
      <c r="G11" s="4">
        <v>0</v>
      </c>
      <c r="H11" s="4"/>
    </row>
    <row r="12" spans="1:9" x14ac:dyDescent="0.35">
      <c r="A12" s="13">
        <v>11</v>
      </c>
      <c r="B12" s="16">
        <v>36</v>
      </c>
      <c r="C12" s="16">
        <v>9</v>
      </c>
      <c r="D12" s="16">
        <v>8</v>
      </c>
      <c r="E12" s="17" t="s">
        <v>6</v>
      </c>
      <c r="F12" s="14">
        <v>1</v>
      </c>
      <c r="G12" s="14">
        <v>0</v>
      </c>
      <c r="H12" s="4"/>
    </row>
    <row r="13" spans="1:9" x14ac:dyDescent="0.35">
      <c r="A13" s="13">
        <v>12</v>
      </c>
      <c r="B13" s="16">
        <v>40</v>
      </c>
      <c r="C13" s="16">
        <v>11</v>
      </c>
      <c r="D13" s="16">
        <v>11</v>
      </c>
      <c r="E13" s="17" t="s">
        <v>7</v>
      </c>
      <c r="F13" s="14">
        <v>0</v>
      </c>
      <c r="G13" s="14">
        <v>0</v>
      </c>
      <c r="H13" s="4"/>
    </row>
    <row r="14" spans="1:9" x14ac:dyDescent="0.35">
      <c r="A14" s="13">
        <v>13</v>
      </c>
      <c r="B14" s="16">
        <v>44</v>
      </c>
      <c r="C14" s="16">
        <v>15</v>
      </c>
      <c r="D14" s="16">
        <v>16</v>
      </c>
      <c r="E14" s="17" t="s">
        <v>7</v>
      </c>
      <c r="F14" s="14">
        <v>0</v>
      </c>
      <c r="G14" s="14">
        <v>1</v>
      </c>
      <c r="H14" s="4"/>
    </row>
    <row r="15" spans="1:9" x14ac:dyDescent="0.35">
      <c r="A15" s="13">
        <v>14</v>
      </c>
      <c r="B15" s="16">
        <v>48</v>
      </c>
      <c r="C15" s="16">
        <v>20</v>
      </c>
      <c r="D15" s="16">
        <v>18</v>
      </c>
      <c r="E15" s="17" t="s">
        <v>7</v>
      </c>
      <c r="F15" s="14">
        <v>2</v>
      </c>
      <c r="G15" s="14">
        <v>0</v>
      </c>
      <c r="H15" s="4"/>
    </row>
    <row r="16" spans="1:9" x14ac:dyDescent="0.35">
      <c r="A16" s="15">
        <v>15</v>
      </c>
      <c r="B16" s="16">
        <v>53</v>
      </c>
      <c r="C16" s="16">
        <v>8</v>
      </c>
      <c r="D16" s="16">
        <v>9</v>
      </c>
      <c r="E16" s="17" t="s">
        <v>6</v>
      </c>
      <c r="F16" s="16">
        <v>1</v>
      </c>
      <c r="G16" s="16">
        <v>2</v>
      </c>
      <c r="H16" s="4"/>
    </row>
    <row r="17" spans="1:8" x14ac:dyDescent="0.35">
      <c r="A17" s="15">
        <v>16</v>
      </c>
      <c r="B17" s="16">
        <v>58</v>
      </c>
      <c r="C17" s="16">
        <v>11</v>
      </c>
      <c r="D17" s="16">
        <v>11</v>
      </c>
      <c r="E17" s="17" t="s">
        <v>7</v>
      </c>
      <c r="F17" s="16">
        <v>0</v>
      </c>
      <c r="G17" s="16">
        <v>0</v>
      </c>
      <c r="H17" s="4"/>
    </row>
    <row r="18" spans="1:8" x14ac:dyDescent="0.35">
      <c r="A18" s="15"/>
      <c r="B18" s="16"/>
      <c r="C18" s="16">
        <f>SUM(C2:C17)</f>
        <v>175</v>
      </c>
      <c r="D18" s="16">
        <f>SUM(D2:D17)</f>
        <v>172</v>
      </c>
      <c r="E18" s="17"/>
      <c r="F18">
        <f>SUM(F2:F17)</f>
        <v>10</v>
      </c>
      <c r="G18">
        <f>SUM(G2:G17)</f>
        <v>7</v>
      </c>
      <c r="H18" s="4">
        <f>C18-F18-G18</f>
        <v>158</v>
      </c>
    </row>
    <row r="19" spans="1:8" x14ac:dyDescent="0.35">
      <c r="A19" s="39" t="s">
        <v>10</v>
      </c>
      <c r="B19" s="39"/>
      <c r="C19">
        <f>AVERAGE(C2:C17)</f>
        <v>10.9375</v>
      </c>
      <c r="D19">
        <f>AVERAGE(D2:D17)</f>
        <v>10.75</v>
      </c>
    </row>
    <row r="20" spans="1:8" x14ac:dyDescent="0.35">
      <c r="A20" s="39" t="s">
        <v>11</v>
      </c>
      <c r="B20" s="39"/>
      <c r="C20">
        <f>_xlfn.STDEV.P(C2:C16)</f>
        <v>3.6962443401677629</v>
      </c>
      <c r="D20">
        <f>_xlfn.STDEV.P(D2:D16)</f>
        <v>3.8551552786135894</v>
      </c>
    </row>
    <row r="22" spans="1:8" x14ac:dyDescent="0.35">
      <c r="B22" s="23"/>
      <c r="C22" t="s">
        <v>8</v>
      </c>
    </row>
    <row r="23" spans="1:8" x14ac:dyDescent="0.35">
      <c r="B23" s="24"/>
      <c r="C23" t="s">
        <v>9</v>
      </c>
    </row>
    <row r="25" spans="1:8" x14ac:dyDescent="0.35">
      <c r="B25" s="25"/>
      <c r="C25" s="26"/>
    </row>
    <row r="26" spans="1:8" x14ac:dyDescent="0.35">
      <c r="B26" s="25"/>
      <c r="C26" s="26"/>
    </row>
  </sheetData>
  <mergeCells count="2">
    <mergeCell ref="A20:B20"/>
    <mergeCell ref="A19:B19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7849-CD0E-4D5B-BFD3-4F920D9DDFFC}">
  <dimension ref="A1:K64"/>
  <sheetViews>
    <sheetView topLeftCell="A16" zoomScale="93" zoomScaleNormal="93" workbookViewId="0">
      <selection activeCell="B2" sqref="B2:C31"/>
    </sheetView>
  </sheetViews>
  <sheetFormatPr baseColWidth="10" defaultColWidth="10.81640625" defaultRowHeight="14.5" x14ac:dyDescent="0.35"/>
  <cols>
    <col min="1" max="1" width="5.453125" style="4" customWidth="1"/>
    <col min="2" max="2" width="20.453125" style="4" customWidth="1"/>
    <col min="3" max="5" width="21.54296875" style="4" customWidth="1"/>
    <col min="6" max="6" width="22" style="4" customWidth="1"/>
    <col min="7" max="9" width="21.81640625" style="4" customWidth="1"/>
    <col min="10" max="16384" width="10.81640625" style="4"/>
  </cols>
  <sheetData>
    <row r="1" spans="1:11" s="2" customFormat="1" ht="29" x14ac:dyDescent="0.35">
      <c r="A1" s="18" t="s">
        <v>0</v>
      </c>
      <c r="B1" s="19" t="s">
        <v>1</v>
      </c>
      <c r="C1" s="19" t="s">
        <v>2</v>
      </c>
      <c r="D1" s="20" t="s">
        <v>14</v>
      </c>
      <c r="E1" s="20" t="s">
        <v>13</v>
      </c>
      <c r="F1" s="20" t="s">
        <v>12</v>
      </c>
      <c r="G1" s="27" t="s">
        <v>3</v>
      </c>
      <c r="H1" s="27" t="s">
        <v>4</v>
      </c>
    </row>
    <row r="2" spans="1:11" x14ac:dyDescent="0.35">
      <c r="A2" s="4">
        <v>1</v>
      </c>
      <c r="B2" s="5">
        <v>60</v>
      </c>
      <c r="C2">
        <v>14</v>
      </c>
      <c r="D2" s="5">
        <v>14</v>
      </c>
      <c r="E2" s="5">
        <v>14</v>
      </c>
      <c r="F2" s="9" t="s">
        <v>7</v>
      </c>
      <c r="G2" s="5">
        <v>0</v>
      </c>
      <c r="H2" s="5">
        <v>0</v>
      </c>
    </row>
    <row r="3" spans="1:11" x14ac:dyDescent="0.35">
      <c r="A3" s="4">
        <v>2</v>
      </c>
      <c r="B3" s="5">
        <v>60</v>
      </c>
      <c r="C3">
        <v>13</v>
      </c>
      <c r="D3" s="5">
        <v>13</v>
      </c>
      <c r="E3" s="5">
        <v>12</v>
      </c>
      <c r="F3" s="9" t="s">
        <v>7</v>
      </c>
      <c r="G3" s="5">
        <v>1</v>
      </c>
      <c r="H3" s="5">
        <v>1</v>
      </c>
      <c r="J3" s="3"/>
      <c r="K3" s="4" t="s">
        <v>8</v>
      </c>
    </row>
    <row r="4" spans="1:11" x14ac:dyDescent="0.35">
      <c r="A4" s="4">
        <v>3</v>
      </c>
      <c r="B4" s="5">
        <v>65</v>
      </c>
      <c r="C4">
        <v>10</v>
      </c>
      <c r="D4" s="5">
        <v>9</v>
      </c>
      <c r="E4" s="5">
        <v>9</v>
      </c>
      <c r="F4" s="9" t="s">
        <v>6</v>
      </c>
      <c r="G4" s="5">
        <v>1</v>
      </c>
      <c r="H4" s="5">
        <v>0</v>
      </c>
      <c r="J4" s="6"/>
      <c r="K4" s="4" t="s">
        <v>9</v>
      </c>
    </row>
    <row r="5" spans="1:11" x14ac:dyDescent="0.35">
      <c r="A5" s="4">
        <v>4</v>
      </c>
      <c r="B5" s="5">
        <v>65</v>
      </c>
      <c r="C5">
        <v>8</v>
      </c>
      <c r="D5" s="5">
        <v>10</v>
      </c>
      <c r="E5" s="5">
        <v>8</v>
      </c>
      <c r="F5" s="9" t="s">
        <v>6</v>
      </c>
      <c r="G5" s="5">
        <v>0</v>
      </c>
      <c r="H5" s="5">
        <v>2</v>
      </c>
    </row>
    <row r="6" spans="1:11" x14ac:dyDescent="0.35">
      <c r="A6" s="4">
        <v>5</v>
      </c>
      <c r="B6" s="5">
        <v>70</v>
      </c>
      <c r="C6">
        <v>18</v>
      </c>
      <c r="D6" s="5">
        <v>16</v>
      </c>
      <c r="E6" s="5">
        <v>16</v>
      </c>
      <c r="F6" s="9" t="s">
        <v>7</v>
      </c>
      <c r="G6" s="5">
        <v>2</v>
      </c>
      <c r="H6" s="5">
        <v>0</v>
      </c>
      <c r="J6" s="11"/>
      <c r="K6" s="4" t="s">
        <v>15</v>
      </c>
    </row>
    <row r="7" spans="1:11" x14ac:dyDescent="0.35">
      <c r="A7" s="4">
        <v>6</v>
      </c>
      <c r="B7" s="5">
        <v>70</v>
      </c>
      <c r="C7">
        <v>11</v>
      </c>
      <c r="D7" s="5">
        <v>9</v>
      </c>
      <c r="E7" s="5">
        <v>9</v>
      </c>
      <c r="F7" s="9" t="s">
        <v>6</v>
      </c>
      <c r="G7" s="5">
        <v>2</v>
      </c>
      <c r="H7" s="5">
        <v>0</v>
      </c>
    </row>
    <row r="8" spans="1:11" x14ac:dyDescent="0.35">
      <c r="A8" s="4">
        <v>7</v>
      </c>
      <c r="B8" s="5">
        <v>75</v>
      </c>
      <c r="C8">
        <v>9</v>
      </c>
      <c r="D8" s="5">
        <v>11</v>
      </c>
      <c r="E8" s="5">
        <v>8</v>
      </c>
      <c r="F8" s="9" t="s">
        <v>7</v>
      </c>
      <c r="G8" s="5">
        <v>1</v>
      </c>
      <c r="H8" s="5">
        <v>3</v>
      </c>
    </row>
    <row r="9" spans="1:11" x14ac:dyDescent="0.35">
      <c r="A9" s="4">
        <v>8</v>
      </c>
      <c r="B9" s="5">
        <v>75</v>
      </c>
      <c r="C9">
        <v>8</v>
      </c>
      <c r="D9" s="5">
        <v>8</v>
      </c>
      <c r="E9" s="5">
        <v>7</v>
      </c>
      <c r="F9" s="9" t="s">
        <v>6</v>
      </c>
      <c r="G9" s="5">
        <v>1</v>
      </c>
      <c r="H9" s="5">
        <v>1</v>
      </c>
      <c r="J9" s="28" t="s">
        <v>40</v>
      </c>
    </row>
    <row r="10" spans="1:11" x14ac:dyDescent="0.35">
      <c r="A10" s="4">
        <v>9</v>
      </c>
      <c r="B10" s="5">
        <v>80</v>
      </c>
      <c r="C10">
        <v>12</v>
      </c>
      <c r="D10" s="5">
        <v>15</v>
      </c>
      <c r="E10" s="5">
        <v>12</v>
      </c>
      <c r="F10" s="9" t="s">
        <v>7</v>
      </c>
      <c r="G10" s="5">
        <v>0</v>
      </c>
      <c r="H10" s="5">
        <v>3</v>
      </c>
      <c r="J10" s="28" t="s">
        <v>39</v>
      </c>
    </row>
    <row r="11" spans="1:11" x14ac:dyDescent="0.35">
      <c r="A11" s="4">
        <v>10</v>
      </c>
      <c r="B11" s="5">
        <v>80</v>
      </c>
      <c r="C11">
        <v>10</v>
      </c>
      <c r="D11" s="5">
        <v>9</v>
      </c>
      <c r="E11" s="5">
        <v>9</v>
      </c>
      <c r="F11" s="9" t="s">
        <v>6</v>
      </c>
      <c r="G11" s="5">
        <v>1</v>
      </c>
      <c r="H11" s="5">
        <v>0</v>
      </c>
    </row>
    <row r="12" spans="1:11" x14ac:dyDescent="0.35">
      <c r="A12" s="7">
        <v>11</v>
      </c>
      <c r="B12" s="5">
        <v>80</v>
      </c>
      <c r="C12">
        <v>8</v>
      </c>
      <c r="D12" s="5">
        <v>8</v>
      </c>
      <c r="E12" s="5">
        <v>8</v>
      </c>
      <c r="F12" s="9" t="s">
        <v>6</v>
      </c>
      <c r="G12" s="5">
        <v>0</v>
      </c>
      <c r="H12" s="5">
        <v>0</v>
      </c>
    </row>
    <row r="13" spans="1:11" x14ac:dyDescent="0.35">
      <c r="A13" s="7">
        <v>12</v>
      </c>
      <c r="B13" s="5">
        <v>80</v>
      </c>
      <c r="C13">
        <v>10</v>
      </c>
      <c r="D13" s="5">
        <v>11</v>
      </c>
      <c r="E13" s="5">
        <v>9</v>
      </c>
      <c r="F13" s="9" t="s">
        <v>7</v>
      </c>
      <c r="G13" s="5">
        <v>1</v>
      </c>
      <c r="H13" s="5">
        <v>2</v>
      </c>
    </row>
    <row r="14" spans="1:11" x14ac:dyDescent="0.35">
      <c r="A14" s="7">
        <v>13</v>
      </c>
      <c r="B14" s="5">
        <v>85</v>
      </c>
      <c r="C14">
        <v>13</v>
      </c>
      <c r="D14" s="5">
        <v>9</v>
      </c>
      <c r="E14" s="5">
        <v>9</v>
      </c>
      <c r="F14" s="9" t="s">
        <v>6</v>
      </c>
      <c r="G14" s="5">
        <v>4</v>
      </c>
      <c r="H14" s="5">
        <v>0</v>
      </c>
    </row>
    <row r="15" spans="1:11" x14ac:dyDescent="0.35">
      <c r="A15" s="7">
        <v>14</v>
      </c>
      <c r="B15" s="5">
        <v>85</v>
      </c>
      <c r="C15">
        <v>11</v>
      </c>
      <c r="D15" s="5">
        <v>12</v>
      </c>
      <c r="E15" s="5">
        <v>11</v>
      </c>
      <c r="F15" s="9" t="s">
        <v>7</v>
      </c>
      <c r="G15" s="5">
        <v>0</v>
      </c>
      <c r="H15" s="5">
        <v>1</v>
      </c>
    </row>
    <row r="16" spans="1:11" x14ac:dyDescent="0.35">
      <c r="A16" s="8">
        <v>15</v>
      </c>
      <c r="B16" s="5">
        <v>85</v>
      </c>
      <c r="C16">
        <v>12</v>
      </c>
      <c r="D16" s="5">
        <v>9</v>
      </c>
      <c r="E16" s="5">
        <v>9</v>
      </c>
      <c r="F16" s="9" t="s">
        <v>6</v>
      </c>
      <c r="G16" s="5">
        <v>3</v>
      </c>
      <c r="H16" s="5">
        <v>0</v>
      </c>
    </row>
    <row r="17" spans="1:8" x14ac:dyDescent="0.35">
      <c r="A17" s="7">
        <v>16</v>
      </c>
      <c r="B17" s="5">
        <v>85</v>
      </c>
      <c r="C17">
        <v>15</v>
      </c>
      <c r="D17" s="5">
        <v>15</v>
      </c>
      <c r="E17" s="5">
        <v>15</v>
      </c>
      <c r="F17" s="10" t="s">
        <v>7</v>
      </c>
      <c r="G17" s="5">
        <v>0</v>
      </c>
      <c r="H17" s="5">
        <v>0</v>
      </c>
    </row>
    <row r="18" spans="1:8" x14ac:dyDescent="0.35">
      <c r="A18" s="8">
        <v>17</v>
      </c>
      <c r="B18" s="5">
        <v>90</v>
      </c>
      <c r="C18">
        <v>8</v>
      </c>
      <c r="D18" s="5">
        <v>11</v>
      </c>
      <c r="E18" s="5">
        <v>7</v>
      </c>
      <c r="F18" s="10" t="s">
        <v>7</v>
      </c>
      <c r="G18" s="5">
        <v>1</v>
      </c>
      <c r="H18" s="5">
        <v>4</v>
      </c>
    </row>
    <row r="19" spans="1:8" x14ac:dyDescent="0.35">
      <c r="A19" s="7">
        <v>18</v>
      </c>
      <c r="B19" s="5">
        <v>90</v>
      </c>
      <c r="C19">
        <v>15</v>
      </c>
      <c r="D19" s="5">
        <v>14</v>
      </c>
      <c r="E19" s="5">
        <v>14</v>
      </c>
      <c r="F19" s="10" t="s">
        <v>7</v>
      </c>
      <c r="G19" s="5">
        <v>1</v>
      </c>
      <c r="H19" s="5">
        <v>0</v>
      </c>
    </row>
    <row r="20" spans="1:8" x14ac:dyDescent="0.35">
      <c r="A20" s="8">
        <v>19</v>
      </c>
      <c r="B20" s="5">
        <v>90</v>
      </c>
      <c r="C20">
        <v>13</v>
      </c>
      <c r="D20" s="5">
        <v>13</v>
      </c>
      <c r="E20" s="5">
        <v>12</v>
      </c>
      <c r="F20" s="10" t="s">
        <v>7</v>
      </c>
      <c r="G20" s="5">
        <v>1</v>
      </c>
      <c r="H20" s="5">
        <v>1</v>
      </c>
    </row>
    <row r="21" spans="1:8" x14ac:dyDescent="0.35">
      <c r="A21" s="7">
        <v>20</v>
      </c>
      <c r="B21" s="5">
        <v>90</v>
      </c>
      <c r="C21">
        <v>10</v>
      </c>
      <c r="D21" s="5">
        <v>10</v>
      </c>
      <c r="E21" s="5">
        <v>10</v>
      </c>
      <c r="F21" s="9" t="s">
        <v>6</v>
      </c>
      <c r="G21" s="5">
        <v>0</v>
      </c>
      <c r="H21" s="5">
        <v>0</v>
      </c>
    </row>
    <row r="22" spans="1:8" x14ac:dyDescent="0.35">
      <c r="A22" s="8">
        <v>21</v>
      </c>
      <c r="B22" s="5">
        <v>95</v>
      </c>
      <c r="C22">
        <v>14</v>
      </c>
      <c r="D22" s="5">
        <v>11</v>
      </c>
      <c r="E22" s="5">
        <v>11</v>
      </c>
      <c r="F22" s="10" t="s">
        <v>7</v>
      </c>
      <c r="G22" s="5">
        <v>3</v>
      </c>
      <c r="H22" s="5">
        <v>0</v>
      </c>
    </row>
    <row r="23" spans="1:8" x14ac:dyDescent="0.35">
      <c r="A23" s="7">
        <v>22</v>
      </c>
      <c r="B23" s="5">
        <v>95</v>
      </c>
      <c r="C23">
        <v>7</v>
      </c>
      <c r="D23" s="5">
        <v>11</v>
      </c>
      <c r="E23" s="5">
        <v>6</v>
      </c>
      <c r="F23" s="10" t="s">
        <v>7</v>
      </c>
      <c r="G23" s="5">
        <v>1</v>
      </c>
      <c r="H23" s="5">
        <v>5</v>
      </c>
    </row>
    <row r="24" spans="1:8" x14ac:dyDescent="0.35">
      <c r="A24" s="8">
        <v>23</v>
      </c>
      <c r="B24" s="5">
        <v>95</v>
      </c>
      <c r="C24">
        <v>7</v>
      </c>
      <c r="D24" s="5">
        <v>9</v>
      </c>
      <c r="E24" s="5">
        <v>7</v>
      </c>
      <c r="F24" s="10" t="s">
        <v>6</v>
      </c>
      <c r="G24" s="5">
        <v>0</v>
      </c>
      <c r="H24" s="5">
        <v>2</v>
      </c>
    </row>
    <row r="25" spans="1:8" x14ac:dyDescent="0.35">
      <c r="A25" s="7">
        <v>24</v>
      </c>
      <c r="B25" s="5">
        <v>95</v>
      </c>
      <c r="C25">
        <v>12</v>
      </c>
      <c r="D25" s="5">
        <v>10</v>
      </c>
      <c r="E25" s="5">
        <v>10</v>
      </c>
      <c r="F25" s="10" t="s">
        <v>6</v>
      </c>
      <c r="G25" s="5">
        <v>2</v>
      </c>
      <c r="H25" s="5">
        <v>0</v>
      </c>
    </row>
    <row r="26" spans="1:8" x14ac:dyDescent="0.35">
      <c r="A26" s="8">
        <v>25</v>
      </c>
      <c r="B26" s="5">
        <v>100</v>
      </c>
      <c r="C26">
        <v>9</v>
      </c>
      <c r="D26" s="5">
        <v>8</v>
      </c>
      <c r="E26" s="5">
        <v>8</v>
      </c>
      <c r="F26" s="10" t="s">
        <v>6</v>
      </c>
      <c r="G26" s="5">
        <v>1</v>
      </c>
      <c r="H26" s="5">
        <v>0</v>
      </c>
    </row>
    <row r="27" spans="1:8" x14ac:dyDescent="0.35">
      <c r="A27" s="7">
        <v>26</v>
      </c>
      <c r="B27" s="5">
        <v>100</v>
      </c>
      <c r="C27">
        <v>15</v>
      </c>
      <c r="D27" s="5">
        <v>10</v>
      </c>
      <c r="E27" s="5">
        <v>9</v>
      </c>
      <c r="F27" s="10" t="s">
        <v>6</v>
      </c>
      <c r="G27" s="5">
        <v>6</v>
      </c>
      <c r="H27" s="5">
        <v>1</v>
      </c>
    </row>
    <row r="28" spans="1:8" x14ac:dyDescent="0.35">
      <c r="A28" s="8">
        <v>27</v>
      </c>
      <c r="B28" s="5">
        <v>100</v>
      </c>
      <c r="C28">
        <v>13</v>
      </c>
      <c r="D28" s="5">
        <v>13</v>
      </c>
      <c r="E28" s="5">
        <v>13</v>
      </c>
      <c r="F28" s="10" t="s">
        <v>7</v>
      </c>
      <c r="G28" s="5">
        <v>0</v>
      </c>
      <c r="H28" s="5">
        <v>0</v>
      </c>
    </row>
    <row r="29" spans="1:8" x14ac:dyDescent="0.35">
      <c r="A29" s="7">
        <v>28</v>
      </c>
      <c r="B29" s="5">
        <v>100</v>
      </c>
      <c r="C29">
        <v>3</v>
      </c>
      <c r="D29" s="5">
        <v>2</v>
      </c>
      <c r="E29" s="5">
        <v>1</v>
      </c>
      <c r="F29" s="10" t="s">
        <v>6</v>
      </c>
      <c r="G29" s="5">
        <v>2</v>
      </c>
      <c r="H29" s="5">
        <v>1</v>
      </c>
    </row>
    <row r="30" spans="1:8" x14ac:dyDescent="0.35">
      <c r="A30" s="8">
        <v>29</v>
      </c>
      <c r="B30" s="5">
        <v>105</v>
      </c>
      <c r="C30">
        <v>10</v>
      </c>
      <c r="D30" s="5">
        <v>11</v>
      </c>
      <c r="E30" s="5">
        <v>10</v>
      </c>
      <c r="F30" s="10" t="s">
        <v>7</v>
      </c>
      <c r="G30" s="5">
        <v>0</v>
      </c>
      <c r="H30" s="5">
        <v>1</v>
      </c>
    </row>
    <row r="31" spans="1:8" x14ac:dyDescent="0.35">
      <c r="A31" s="7">
        <v>30</v>
      </c>
      <c r="B31" s="5">
        <v>105</v>
      </c>
      <c r="C31">
        <v>9</v>
      </c>
      <c r="D31" s="5">
        <v>10</v>
      </c>
      <c r="E31" s="5">
        <v>8</v>
      </c>
      <c r="F31" s="10" t="s">
        <v>6</v>
      </c>
      <c r="G31" s="5">
        <v>1</v>
      </c>
      <c r="H31" s="5">
        <v>2</v>
      </c>
    </row>
    <row r="32" spans="1:8" x14ac:dyDescent="0.35">
      <c r="A32" s="8">
        <v>31</v>
      </c>
      <c r="F32" s="10"/>
    </row>
    <row r="33" spans="1:1" x14ac:dyDescent="0.35">
      <c r="A33" s="7">
        <v>32</v>
      </c>
    </row>
    <row r="34" spans="1:1" x14ac:dyDescent="0.35">
      <c r="A34" s="8">
        <v>33</v>
      </c>
    </row>
    <row r="35" spans="1:1" x14ac:dyDescent="0.35">
      <c r="A35" s="7">
        <v>34</v>
      </c>
    </row>
    <row r="36" spans="1:1" x14ac:dyDescent="0.35">
      <c r="A36" s="8">
        <v>35</v>
      </c>
    </row>
    <row r="37" spans="1:1" x14ac:dyDescent="0.35">
      <c r="A37" s="7">
        <v>36</v>
      </c>
    </row>
    <row r="38" spans="1:1" x14ac:dyDescent="0.35">
      <c r="A38" s="8">
        <v>37</v>
      </c>
    </row>
    <row r="39" spans="1:1" x14ac:dyDescent="0.35">
      <c r="A39" s="7">
        <v>38</v>
      </c>
    </row>
    <row r="40" spans="1:1" x14ac:dyDescent="0.35">
      <c r="A40" s="8">
        <v>39</v>
      </c>
    </row>
    <row r="41" spans="1:1" x14ac:dyDescent="0.35">
      <c r="A41" s="7">
        <v>40</v>
      </c>
    </row>
    <row r="42" spans="1:1" x14ac:dyDescent="0.35">
      <c r="A42" s="8">
        <v>41</v>
      </c>
    </row>
    <row r="43" spans="1:1" x14ac:dyDescent="0.35">
      <c r="A43" s="7">
        <v>42</v>
      </c>
    </row>
    <row r="44" spans="1:1" x14ac:dyDescent="0.35">
      <c r="A44" s="8">
        <v>43</v>
      </c>
    </row>
    <row r="45" spans="1:1" x14ac:dyDescent="0.35">
      <c r="A45" s="7">
        <v>44</v>
      </c>
    </row>
    <row r="46" spans="1:1" x14ac:dyDescent="0.35">
      <c r="A46" s="8">
        <v>45</v>
      </c>
    </row>
    <row r="47" spans="1:1" x14ac:dyDescent="0.35">
      <c r="A47" s="7">
        <v>46</v>
      </c>
    </row>
    <row r="48" spans="1:1" x14ac:dyDescent="0.35">
      <c r="A48" s="8">
        <v>47</v>
      </c>
    </row>
    <row r="49" spans="1:8" x14ac:dyDescent="0.35">
      <c r="A49" s="7">
        <v>48</v>
      </c>
    </row>
    <row r="50" spans="1:8" x14ac:dyDescent="0.35">
      <c r="A50" s="8">
        <v>49</v>
      </c>
    </row>
    <row r="51" spans="1:8" x14ac:dyDescent="0.35">
      <c r="A51" s="7">
        <v>50</v>
      </c>
    </row>
    <row r="52" spans="1:8" x14ac:dyDescent="0.35">
      <c r="A52" s="8">
        <v>51</v>
      </c>
    </row>
    <row r="53" spans="1:8" x14ac:dyDescent="0.35">
      <c r="A53" s="7">
        <v>52</v>
      </c>
    </row>
    <row r="54" spans="1:8" x14ac:dyDescent="0.35">
      <c r="A54" s="8">
        <v>53</v>
      </c>
    </row>
    <row r="55" spans="1:8" x14ac:dyDescent="0.35">
      <c r="A55" s="7">
        <v>54</v>
      </c>
    </row>
    <row r="56" spans="1:8" x14ac:dyDescent="0.35">
      <c r="A56" s="8">
        <v>55</v>
      </c>
    </row>
    <row r="57" spans="1:8" x14ac:dyDescent="0.35">
      <c r="A57" s="7">
        <v>56</v>
      </c>
    </row>
    <row r="58" spans="1:8" x14ac:dyDescent="0.35">
      <c r="A58" s="8">
        <v>57</v>
      </c>
    </row>
    <row r="59" spans="1:8" x14ac:dyDescent="0.35">
      <c r="A59" s="7">
        <v>58</v>
      </c>
    </row>
    <row r="60" spans="1:8" x14ac:dyDescent="0.35">
      <c r="A60" s="8">
        <v>59</v>
      </c>
    </row>
    <row r="61" spans="1:8" x14ac:dyDescent="0.35">
      <c r="A61" s="7">
        <v>60</v>
      </c>
    </row>
    <row r="63" spans="1:8" x14ac:dyDescent="0.35">
      <c r="A63" s="4" t="s">
        <v>10</v>
      </c>
      <c r="C63" s="4">
        <f>AVERAGE(C2:C31)</f>
        <v>10.9</v>
      </c>
      <c r="D63" s="4">
        <f>AVERAGE(D2:D31)</f>
        <v>10.7</v>
      </c>
      <c r="E63" s="4">
        <f>AVERAGE(E2:E31)</f>
        <v>9.6999999999999993</v>
      </c>
      <c r="F63" s="9" t="s">
        <v>16</v>
      </c>
      <c r="G63" s="4">
        <f>AVERAGE(G2:G31)</f>
        <v>1.2</v>
      </c>
      <c r="H63" s="4">
        <f>AVERAGE(H2:H31)</f>
        <v>1</v>
      </c>
    </row>
    <row r="64" spans="1:8" x14ac:dyDescent="0.35">
      <c r="A64" s="4" t="s">
        <v>11</v>
      </c>
      <c r="C64" s="4">
        <f>_xlfn.STDEV.P(C2:C31)</f>
        <v>3.0697448319580789</v>
      </c>
      <c r="D64" s="4">
        <f>_xlfn.STDEV.P(D2:D31)</f>
        <v>2.7221315177632399</v>
      </c>
      <c r="E64" s="4">
        <f>_xlfn.STDEV.P(E2:E31)</f>
        <v>2.9681644159311662</v>
      </c>
      <c r="G64" s="4">
        <f>_xlfn.STDEV.P(G2:G31)</f>
        <v>1.3515423288475528</v>
      </c>
      <c r="H64" s="4">
        <f>_xlfn.STDEV.P(H2:H31)</f>
        <v>1.3165611772087666</v>
      </c>
    </row>
  </sheetData>
  <conditionalFormatting sqref="F2:F32 F35:F50 F63">
    <cfRule type="expression" dxfId="3" priority="1">
      <formula>OR(AND(C2&gt;10,F2="Pass"),AND(C2&lt;=10,F2="Reject"))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9687-20F0-464E-A1B5-31B0C2876F47}">
  <dimension ref="A1:Q77"/>
  <sheetViews>
    <sheetView topLeftCell="A6" zoomScaleNormal="100" workbookViewId="0">
      <selection activeCell="G11" sqref="G11"/>
    </sheetView>
  </sheetViews>
  <sheetFormatPr baseColWidth="10" defaultRowHeight="14.5" x14ac:dyDescent="0.35"/>
  <cols>
    <col min="1" max="1" width="11.453125" style="12"/>
  </cols>
  <sheetData>
    <row r="1" spans="1:17" s="21" customFormat="1" ht="43.5" x14ac:dyDescent="0.35">
      <c r="A1" s="33" t="s">
        <v>0</v>
      </c>
      <c r="B1" s="34" t="s">
        <v>32</v>
      </c>
      <c r="C1" s="34" t="s">
        <v>33</v>
      </c>
      <c r="D1" s="34" t="s">
        <v>34</v>
      </c>
      <c r="E1" s="34" t="s">
        <v>35</v>
      </c>
      <c r="F1" s="34" t="s">
        <v>36</v>
      </c>
      <c r="G1" s="34" t="s">
        <v>37</v>
      </c>
      <c r="H1" s="34" t="s">
        <v>43</v>
      </c>
      <c r="I1" s="34" t="s">
        <v>47</v>
      </c>
      <c r="J1" s="34" t="s">
        <v>44</v>
      </c>
      <c r="K1" s="34" t="s">
        <v>45</v>
      </c>
      <c r="L1" s="34" t="s">
        <v>48</v>
      </c>
      <c r="M1" s="34" t="s">
        <v>46</v>
      </c>
      <c r="N1" s="35"/>
      <c r="O1" s="35"/>
      <c r="P1" s="32" t="s">
        <v>1</v>
      </c>
      <c r="Q1" s="32" t="s">
        <v>2</v>
      </c>
    </row>
    <row r="2" spans="1:17" x14ac:dyDescent="0.35">
      <c r="A2" s="12" t="s">
        <v>17</v>
      </c>
      <c r="B2">
        <v>15</v>
      </c>
      <c r="C2">
        <v>35</v>
      </c>
      <c r="D2">
        <v>4</v>
      </c>
      <c r="E2">
        <v>50</v>
      </c>
      <c r="F2" s="22" t="s">
        <v>38</v>
      </c>
      <c r="G2">
        <v>100</v>
      </c>
      <c r="H2">
        <v>7</v>
      </c>
      <c r="I2">
        <v>4</v>
      </c>
      <c r="J2" s="31">
        <v>0.5</v>
      </c>
      <c r="K2">
        <f t="shared" ref="K2:K18" si="0">P2-H2</f>
        <v>7</v>
      </c>
      <c r="L2">
        <f t="shared" ref="L2:L17" si="1">Q2-I2</f>
        <v>4</v>
      </c>
      <c r="M2" s="31">
        <v>0.5</v>
      </c>
      <c r="P2" s="5">
        <v>14</v>
      </c>
      <c r="Q2" s="5">
        <v>8</v>
      </c>
    </row>
    <row r="3" spans="1:17" x14ac:dyDescent="0.35">
      <c r="A3" s="12" t="s">
        <v>18</v>
      </c>
      <c r="B3">
        <v>15</v>
      </c>
      <c r="C3">
        <v>35</v>
      </c>
      <c r="D3">
        <v>4</v>
      </c>
      <c r="E3">
        <v>50</v>
      </c>
      <c r="F3" s="22" t="s">
        <v>38</v>
      </c>
      <c r="G3">
        <v>100</v>
      </c>
      <c r="H3">
        <v>7</v>
      </c>
      <c r="I3">
        <v>2</v>
      </c>
      <c r="J3" s="31">
        <v>0.5</v>
      </c>
      <c r="K3">
        <f t="shared" si="0"/>
        <v>7</v>
      </c>
      <c r="L3">
        <f t="shared" si="1"/>
        <v>3</v>
      </c>
      <c r="M3" s="31">
        <v>0.5</v>
      </c>
      <c r="P3" s="5">
        <v>14</v>
      </c>
      <c r="Q3" s="5">
        <v>5</v>
      </c>
    </row>
    <row r="4" spans="1:17" x14ac:dyDescent="0.35">
      <c r="A4" s="12" t="s">
        <v>19</v>
      </c>
      <c r="B4">
        <v>15</v>
      </c>
      <c r="C4">
        <v>35</v>
      </c>
      <c r="D4">
        <v>4</v>
      </c>
      <c r="E4">
        <v>50</v>
      </c>
      <c r="F4" s="22" t="s">
        <v>38</v>
      </c>
      <c r="G4">
        <v>100</v>
      </c>
      <c r="H4">
        <v>8</v>
      </c>
      <c r="I4">
        <v>6</v>
      </c>
      <c r="J4" s="31">
        <v>0.5</v>
      </c>
      <c r="K4">
        <f t="shared" si="0"/>
        <v>8</v>
      </c>
      <c r="L4">
        <f t="shared" si="1"/>
        <v>6</v>
      </c>
      <c r="M4" s="31">
        <v>0.5</v>
      </c>
      <c r="P4" s="5">
        <v>16</v>
      </c>
      <c r="Q4" s="5">
        <v>12</v>
      </c>
    </row>
    <row r="5" spans="1:17" x14ac:dyDescent="0.35">
      <c r="A5" s="12" t="s">
        <v>20</v>
      </c>
      <c r="B5">
        <v>15</v>
      </c>
      <c r="C5">
        <v>35</v>
      </c>
      <c r="D5">
        <v>4</v>
      </c>
      <c r="E5">
        <v>50</v>
      </c>
      <c r="F5" s="22" t="s">
        <v>38</v>
      </c>
      <c r="G5">
        <v>100</v>
      </c>
      <c r="H5">
        <v>9</v>
      </c>
      <c r="I5">
        <v>5</v>
      </c>
      <c r="J5" s="31">
        <v>0.5</v>
      </c>
      <c r="K5">
        <f t="shared" si="0"/>
        <v>9</v>
      </c>
      <c r="L5">
        <f t="shared" si="1"/>
        <v>4</v>
      </c>
      <c r="M5" s="31">
        <v>0.5</v>
      </c>
      <c r="P5" s="5">
        <v>18</v>
      </c>
      <c r="Q5" s="5">
        <v>9</v>
      </c>
    </row>
    <row r="6" spans="1:17" s="25" customFormat="1" x14ac:dyDescent="0.35">
      <c r="A6" s="36" t="s">
        <v>21</v>
      </c>
      <c r="B6" s="25">
        <v>15</v>
      </c>
      <c r="C6" s="25">
        <v>35</v>
      </c>
      <c r="D6" s="25">
        <v>4</v>
      </c>
      <c r="E6" s="25">
        <v>50</v>
      </c>
      <c r="F6" s="37" t="s">
        <v>38</v>
      </c>
      <c r="G6" s="25">
        <v>100</v>
      </c>
      <c r="H6" s="25">
        <v>10</v>
      </c>
      <c r="I6" s="25">
        <v>4</v>
      </c>
      <c r="J6" s="38">
        <v>0.5</v>
      </c>
      <c r="K6" s="25">
        <f t="shared" si="0"/>
        <v>10</v>
      </c>
      <c r="L6" s="25">
        <f t="shared" si="1"/>
        <v>3</v>
      </c>
      <c r="M6" s="38">
        <v>0.5</v>
      </c>
      <c r="P6" s="5">
        <v>20</v>
      </c>
      <c r="Q6" s="5">
        <v>7</v>
      </c>
    </row>
    <row r="7" spans="1:17" s="25" customFormat="1" x14ac:dyDescent="0.35">
      <c r="A7" s="36" t="s">
        <v>22</v>
      </c>
      <c r="B7" s="25">
        <v>15</v>
      </c>
      <c r="C7" s="25">
        <v>35</v>
      </c>
      <c r="D7" s="25">
        <v>4</v>
      </c>
      <c r="E7" s="25">
        <v>50</v>
      </c>
      <c r="F7" s="37" t="s">
        <v>38</v>
      </c>
      <c r="G7" s="25">
        <v>100</v>
      </c>
      <c r="H7" s="25">
        <v>11</v>
      </c>
      <c r="I7" s="25">
        <v>5</v>
      </c>
      <c r="J7" s="38">
        <v>0.5</v>
      </c>
      <c r="K7" s="25">
        <f t="shared" si="0"/>
        <v>11</v>
      </c>
      <c r="L7" s="25">
        <f t="shared" si="1"/>
        <v>4</v>
      </c>
      <c r="M7" s="38">
        <v>0.5</v>
      </c>
      <c r="P7" s="5">
        <v>22</v>
      </c>
      <c r="Q7" s="5">
        <v>9</v>
      </c>
    </row>
    <row r="8" spans="1:17" s="25" customFormat="1" x14ac:dyDescent="0.35">
      <c r="A8" s="36" t="s">
        <v>23</v>
      </c>
      <c r="B8" s="25">
        <v>15</v>
      </c>
      <c r="C8" s="25">
        <v>35</v>
      </c>
      <c r="D8" s="25">
        <v>4</v>
      </c>
      <c r="E8" s="25">
        <v>50</v>
      </c>
      <c r="F8" s="37" t="s">
        <v>38</v>
      </c>
      <c r="G8" s="25">
        <v>100</v>
      </c>
      <c r="H8" s="25">
        <v>12</v>
      </c>
      <c r="I8" s="25">
        <v>6</v>
      </c>
      <c r="J8" s="38">
        <v>0.5</v>
      </c>
      <c r="K8" s="25">
        <f t="shared" si="0"/>
        <v>12</v>
      </c>
      <c r="L8" s="25">
        <f t="shared" si="1"/>
        <v>7</v>
      </c>
      <c r="M8" s="38">
        <v>0.5</v>
      </c>
      <c r="P8" s="5">
        <v>24</v>
      </c>
      <c r="Q8" s="5">
        <v>13</v>
      </c>
    </row>
    <row r="9" spans="1:17" x14ac:dyDescent="0.35">
      <c r="A9" s="12" t="s">
        <v>24</v>
      </c>
      <c r="B9">
        <v>15</v>
      </c>
      <c r="C9">
        <v>35</v>
      </c>
      <c r="D9">
        <v>4</v>
      </c>
      <c r="E9">
        <v>50</v>
      </c>
      <c r="F9" s="22" t="s">
        <v>38</v>
      </c>
      <c r="G9">
        <v>100</v>
      </c>
      <c r="H9">
        <v>13</v>
      </c>
      <c r="I9">
        <v>7</v>
      </c>
      <c r="J9" s="31">
        <v>0.5</v>
      </c>
      <c r="K9">
        <f t="shared" si="0"/>
        <v>13</v>
      </c>
      <c r="L9">
        <f t="shared" si="1"/>
        <v>6</v>
      </c>
      <c r="M9" s="31">
        <v>0.5</v>
      </c>
      <c r="P9" s="5">
        <v>26</v>
      </c>
      <c r="Q9" s="5">
        <v>13</v>
      </c>
    </row>
    <row r="10" spans="1:17" s="25" customFormat="1" x14ac:dyDescent="0.35">
      <c r="A10" s="36" t="s">
        <v>25</v>
      </c>
      <c r="B10" s="25">
        <v>15</v>
      </c>
      <c r="C10" s="25">
        <v>35</v>
      </c>
      <c r="D10" s="25">
        <v>4</v>
      </c>
      <c r="E10" s="25">
        <v>50</v>
      </c>
      <c r="F10" s="37" t="s">
        <v>38</v>
      </c>
      <c r="G10" s="25">
        <v>100</v>
      </c>
      <c r="H10" s="25">
        <v>14</v>
      </c>
      <c r="I10" s="25">
        <v>7</v>
      </c>
      <c r="J10" s="38">
        <v>0.5</v>
      </c>
      <c r="K10" s="25">
        <f t="shared" si="0"/>
        <v>15</v>
      </c>
      <c r="L10" s="25">
        <f t="shared" si="1"/>
        <v>8</v>
      </c>
      <c r="M10" s="38">
        <v>0.5</v>
      </c>
      <c r="P10" s="5">
        <v>29</v>
      </c>
      <c r="Q10" s="5">
        <v>15</v>
      </c>
    </row>
    <row r="11" spans="1:17" x14ac:dyDescent="0.35">
      <c r="A11" s="12" t="s">
        <v>26</v>
      </c>
      <c r="B11">
        <v>15</v>
      </c>
      <c r="C11">
        <v>35</v>
      </c>
      <c r="D11">
        <v>4</v>
      </c>
      <c r="E11">
        <v>50</v>
      </c>
      <c r="F11" s="22" t="s">
        <v>38</v>
      </c>
      <c r="G11">
        <v>100</v>
      </c>
      <c r="H11">
        <v>16</v>
      </c>
      <c r="I11">
        <v>5</v>
      </c>
      <c r="J11" s="31">
        <v>0.5</v>
      </c>
      <c r="K11">
        <f t="shared" si="0"/>
        <v>16</v>
      </c>
      <c r="L11">
        <f t="shared" si="1"/>
        <v>5</v>
      </c>
      <c r="M11" s="31">
        <v>0.5</v>
      </c>
      <c r="P11" s="5">
        <v>32</v>
      </c>
      <c r="Q11" s="5">
        <v>10</v>
      </c>
    </row>
    <row r="12" spans="1:17" x14ac:dyDescent="0.35">
      <c r="A12" s="12" t="s">
        <v>27</v>
      </c>
      <c r="B12">
        <v>15</v>
      </c>
      <c r="C12">
        <v>35</v>
      </c>
      <c r="D12">
        <v>4</v>
      </c>
      <c r="E12">
        <v>50</v>
      </c>
      <c r="F12" s="22" t="s">
        <v>38</v>
      </c>
      <c r="G12">
        <v>100</v>
      </c>
      <c r="H12">
        <v>18</v>
      </c>
      <c r="I12">
        <v>4</v>
      </c>
      <c r="J12" s="31">
        <v>0.5</v>
      </c>
      <c r="K12">
        <f t="shared" si="0"/>
        <v>18</v>
      </c>
      <c r="L12">
        <f t="shared" si="1"/>
        <v>5</v>
      </c>
      <c r="M12" s="31">
        <v>0.5</v>
      </c>
      <c r="P12" s="16">
        <v>36</v>
      </c>
      <c r="Q12" s="16">
        <v>9</v>
      </c>
    </row>
    <row r="13" spans="1:17" x14ac:dyDescent="0.35">
      <c r="A13" s="12" t="s">
        <v>28</v>
      </c>
      <c r="B13">
        <v>15</v>
      </c>
      <c r="C13">
        <v>35</v>
      </c>
      <c r="D13">
        <v>4</v>
      </c>
      <c r="E13">
        <v>50</v>
      </c>
      <c r="F13" s="22" t="s">
        <v>38</v>
      </c>
      <c r="G13">
        <v>100</v>
      </c>
      <c r="H13">
        <v>20</v>
      </c>
      <c r="I13">
        <v>5</v>
      </c>
      <c r="J13" s="31">
        <v>0.5</v>
      </c>
      <c r="K13">
        <f t="shared" si="0"/>
        <v>20</v>
      </c>
      <c r="L13">
        <f t="shared" si="1"/>
        <v>6</v>
      </c>
      <c r="M13" s="31">
        <v>0.5</v>
      </c>
      <c r="P13" s="16">
        <v>40</v>
      </c>
      <c r="Q13" s="16">
        <v>11</v>
      </c>
    </row>
    <row r="14" spans="1:17" x14ac:dyDescent="0.35">
      <c r="A14" s="12" t="s">
        <v>29</v>
      </c>
      <c r="B14">
        <v>15</v>
      </c>
      <c r="C14">
        <v>35</v>
      </c>
      <c r="D14">
        <v>4</v>
      </c>
      <c r="E14">
        <v>50</v>
      </c>
      <c r="F14" s="22" t="s">
        <v>38</v>
      </c>
      <c r="G14">
        <v>100</v>
      </c>
      <c r="H14">
        <v>22</v>
      </c>
      <c r="I14">
        <v>8</v>
      </c>
      <c r="J14" s="31">
        <v>0.5</v>
      </c>
      <c r="K14">
        <f t="shared" si="0"/>
        <v>22</v>
      </c>
      <c r="L14">
        <f t="shared" si="1"/>
        <v>7</v>
      </c>
      <c r="M14" s="31">
        <v>0.5</v>
      </c>
      <c r="P14" s="16">
        <v>44</v>
      </c>
      <c r="Q14" s="16">
        <v>15</v>
      </c>
    </row>
    <row r="15" spans="1:17" x14ac:dyDescent="0.35">
      <c r="A15" s="12" t="s">
        <v>30</v>
      </c>
      <c r="B15">
        <v>15</v>
      </c>
      <c r="C15">
        <v>35</v>
      </c>
      <c r="D15">
        <v>4</v>
      </c>
      <c r="E15">
        <v>50</v>
      </c>
      <c r="F15" s="22" t="s">
        <v>38</v>
      </c>
      <c r="G15">
        <v>100</v>
      </c>
      <c r="H15">
        <v>24</v>
      </c>
      <c r="I15">
        <v>10</v>
      </c>
      <c r="J15" s="31">
        <v>0.5</v>
      </c>
      <c r="K15">
        <f t="shared" si="0"/>
        <v>24</v>
      </c>
      <c r="L15">
        <f t="shared" si="1"/>
        <v>10</v>
      </c>
      <c r="M15" s="31">
        <v>0.5</v>
      </c>
      <c r="P15" s="16">
        <v>48</v>
      </c>
      <c r="Q15" s="16">
        <v>20</v>
      </c>
    </row>
    <row r="16" spans="1:17" x14ac:dyDescent="0.35">
      <c r="A16" s="12" t="s">
        <v>31</v>
      </c>
      <c r="B16">
        <v>15</v>
      </c>
      <c r="C16">
        <v>35</v>
      </c>
      <c r="D16">
        <v>4</v>
      </c>
      <c r="E16">
        <v>50</v>
      </c>
      <c r="F16" s="22" t="s">
        <v>38</v>
      </c>
      <c r="G16">
        <v>100</v>
      </c>
      <c r="H16">
        <v>27</v>
      </c>
      <c r="I16">
        <v>4</v>
      </c>
      <c r="J16" s="31">
        <v>0.5</v>
      </c>
      <c r="K16">
        <f t="shared" si="0"/>
        <v>26</v>
      </c>
      <c r="L16">
        <f t="shared" si="1"/>
        <v>4</v>
      </c>
      <c r="M16" s="31">
        <v>0.5</v>
      </c>
      <c r="P16" s="16">
        <v>53</v>
      </c>
      <c r="Q16" s="16">
        <v>8</v>
      </c>
    </row>
    <row r="17" spans="1:17" x14ac:dyDescent="0.35">
      <c r="A17" s="12" t="s">
        <v>49</v>
      </c>
      <c r="B17">
        <v>15</v>
      </c>
      <c r="C17">
        <v>35</v>
      </c>
      <c r="D17">
        <v>4</v>
      </c>
      <c r="E17">
        <v>50</v>
      </c>
      <c r="F17" s="22" t="s">
        <v>38</v>
      </c>
      <c r="G17">
        <v>100</v>
      </c>
      <c r="H17">
        <v>29</v>
      </c>
      <c r="I17">
        <v>6</v>
      </c>
      <c r="J17" s="31">
        <v>0.5</v>
      </c>
      <c r="K17">
        <f t="shared" si="0"/>
        <v>29</v>
      </c>
      <c r="L17">
        <f t="shared" si="1"/>
        <v>5</v>
      </c>
      <c r="M17" s="31">
        <v>0.5</v>
      </c>
      <c r="P17" s="16">
        <v>58</v>
      </c>
      <c r="Q17" s="16">
        <v>11</v>
      </c>
    </row>
    <row r="18" spans="1:17" x14ac:dyDescent="0.35">
      <c r="A18" s="12">
        <v>1</v>
      </c>
      <c r="B18">
        <v>15</v>
      </c>
      <c r="C18">
        <v>35</v>
      </c>
      <c r="D18">
        <v>4</v>
      </c>
      <c r="E18">
        <v>50</v>
      </c>
      <c r="F18" s="22" t="s">
        <v>38</v>
      </c>
      <c r="G18">
        <v>100</v>
      </c>
      <c r="H18">
        <v>30</v>
      </c>
      <c r="I18">
        <v>7</v>
      </c>
      <c r="J18" s="31">
        <v>0.5</v>
      </c>
      <c r="K18">
        <f t="shared" si="0"/>
        <v>30</v>
      </c>
      <c r="L18">
        <f>Q18-I18</f>
        <v>7</v>
      </c>
      <c r="M18" s="31">
        <v>0.5</v>
      </c>
      <c r="P18" s="5">
        <v>60</v>
      </c>
      <c r="Q18">
        <v>14</v>
      </c>
    </row>
    <row r="19" spans="1:17" x14ac:dyDescent="0.35">
      <c r="A19" s="12">
        <v>2</v>
      </c>
      <c r="B19">
        <v>15</v>
      </c>
      <c r="C19">
        <v>35</v>
      </c>
      <c r="D19">
        <v>4</v>
      </c>
      <c r="E19">
        <v>50</v>
      </c>
      <c r="F19" s="22" t="s">
        <v>38</v>
      </c>
      <c r="G19">
        <v>100</v>
      </c>
      <c r="H19">
        <v>30</v>
      </c>
      <c r="I19">
        <v>7</v>
      </c>
      <c r="J19" s="31">
        <v>0.5</v>
      </c>
      <c r="K19">
        <f>P19-H19</f>
        <v>30</v>
      </c>
      <c r="L19">
        <f t="shared" ref="L19:L47" si="2">Q19-I19</f>
        <v>6</v>
      </c>
      <c r="M19" s="31">
        <v>0.5</v>
      </c>
      <c r="P19" s="5">
        <v>60</v>
      </c>
      <c r="Q19">
        <v>13</v>
      </c>
    </row>
    <row r="20" spans="1:17" x14ac:dyDescent="0.35">
      <c r="A20" s="12">
        <v>3</v>
      </c>
      <c r="B20">
        <v>15</v>
      </c>
      <c r="C20">
        <v>35</v>
      </c>
      <c r="D20">
        <v>4</v>
      </c>
      <c r="E20">
        <v>50</v>
      </c>
      <c r="F20" s="22" t="s">
        <v>38</v>
      </c>
      <c r="G20">
        <v>100</v>
      </c>
      <c r="H20">
        <v>32</v>
      </c>
      <c r="I20">
        <v>5</v>
      </c>
      <c r="J20" s="31">
        <v>0.5</v>
      </c>
      <c r="K20">
        <f t="shared" ref="K20:K47" si="3">P20-H20</f>
        <v>33</v>
      </c>
      <c r="L20">
        <f t="shared" si="2"/>
        <v>5</v>
      </c>
      <c r="M20" s="31">
        <v>0.5</v>
      </c>
      <c r="P20" s="5">
        <v>65</v>
      </c>
      <c r="Q20">
        <v>10</v>
      </c>
    </row>
    <row r="21" spans="1:17" x14ac:dyDescent="0.35">
      <c r="A21" s="12">
        <v>4</v>
      </c>
      <c r="B21">
        <v>15</v>
      </c>
      <c r="C21">
        <v>35</v>
      </c>
      <c r="D21">
        <v>4</v>
      </c>
      <c r="E21">
        <v>50</v>
      </c>
      <c r="F21" s="22" t="s">
        <v>38</v>
      </c>
      <c r="G21">
        <v>100</v>
      </c>
      <c r="H21">
        <v>33</v>
      </c>
      <c r="I21">
        <v>4</v>
      </c>
      <c r="J21" s="31">
        <v>0.5</v>
      </c>
      <c r="K21">
        <f t="shared" si="3"/>
        <v>32</v>
      </c>
      <c r="L21">
        <f t="shared" si="2"/>
        <v>4</v>
      </c>
      <c r="M21" s="31">
        <v>0.5</v>
      </c>
      <c r="P21" s="5">
        <v>65</v>
      </c>
      <c r="Q21">
        <v>8</v>
      </c>
    </row>
    <row r="22" spans="1:17" x14ac:dyDescent="0.35">
      <c r="A22" s="12">
        <v>5</v>
      </c>
      <c r="B22">
        <v>15</v>
      </c>
      <c r="C22">
        <v>35</v>
      </c>
      <c r="D22">
        <v>4</v>
      </c>
      <c r="E22">
        <v>50</v>
      </c>
      <c r="F22" s="22" t="s">
        <v>38</v>
      </c>
      <c r="G22">
        <v>100</v>
      </c>
      <c r="H22">
        <v>35</v>
      </c>
      <c r="I22">
        <v>9</v>
      </c>
      <c r="J22" s="31">
        <v>0.5</v>
      </c>
      <c r="K22">
        <f t="shared" si="3"/>
        <v>35</v>
      </c>
      <c r="L22">
        <f t="shared" si="2"/>
        <v>9</v>
      </c>
      <c r="M22" s="31">
        <v>0.5</v>
      </c>
      <c r="P22" s="5">
        <v>70</v>
      </c>
      <c r="Q22">
        <v>18</v>
      </c>
    </row>
    <row r="23" spans="1:17" x14ac:dyDescent="0.35">
      <c r="A23" s="12">
        <v>6</v>
      </c>
      <c r="B23">
        <v>15</v>
      </c>
      <c r="C23">
        <v>35</v>
      </c>
      <c r="D23">
        <v>4</v>
      </c>
      <c r="E23">
        <v>50</v>
      </c>
      <c r="F23" s="22" t="s">
        <v>38</v>
      </c>
      <c r="G23">
        <v>100</v>
      </c>
      <c r="H23">
        <v>35</v>
      </c>
      <c r="I23">
        <v>5</v>
      </c>
      <c r="J23" s="31">
        <v>0.5</v>
      </c>
      <c r="K23">
        <f t="shared" si="3"/>
        <v>35</v>
      </c>
      <c r="L23">
        <f t="shared" si="2"/>
        <v>6</v>
      </c>
      <c r="M23" s="31">
        <v>0.5</v>
      </c>
      <c r="P23" s="5">
        <v>70</v>
      </c>
      <c r="Q23">
        <v>11</v>
      </c>
    </row>
    <row r="24" spans="1:17" x14ac:dyDescent="0.35">
      <c r="A24" s="12">
        <v>7</v>
      </c>
      <c r="B24">
        <v>15</v>
      </c>
      <c r="C24">
        <v>35</v>
      </c>
      <c r="D24">
        <v>4</v>
      </c>
      <c r="E24">
        <v>50</v>
      </c>
      <c r="F24" s="22" t="s">
        <v>38</v>
      </c>
      <c r="G24">
        <v>100</v>
      </c>
      <c r="H24">
        <v>37</v>
      </c>
      <c r="I24">
        <v>5</v>
      </c>
      <c r="J24" s="31">
        <v>0.5</v>
      </c>
      <c r="K24">
        <f t="shared" si="3"/>
        <v>38</v>
      </c>
      <c r="L24">
        <f t="shared" si="2"/>
        <v>4</v>
      </c>
      <c r="M24" s="31">
        <v>0.5</v>
      </c>
      <c r="P24" s="5">
        <v>75</v>
      </c>
      <c r="Q24">
        <v>9</v>
      </c>
    </row>
    <row r="25" spans="1:17" x14ac:dyDescent="0.35">
      <c r="A25" s="12">
        <v>8</v>
      </c>
      <c r="B25">
        <v>15</v>
      </c>
      <c r="C25">
        <v>35</v>
      </c>
      <c r="D25">
        <v>4</v>
      </c>
      <c r="E25">
        <v>50</v>
      </c>
      <c r="F25" s="22" t="s">
        <v>38</v>
      </c>
      <c r="G25">
        <v>100</v>
      </c>
      <c r="H25">
        <v>38</v>
      </c>
      <c r="I25">
        <v>4</v>
      </c>
      <c r="J25" s="31">
        <v>0.5</v>
      </c>
      <c r="K25">
        <f t="shared" si="3"/>
        <v>37</v>
      </c>
      <c r="L25">
        <f t="shared" si="2"/>
        <v>4</v>
      </c>
      <c r="M25" s="31">
        <v>0.5</v>
      </c>
      <c r="P25" s="5">
        <v>75</v>
      </c>
      <c r="Q25">
        <v>8</v>
      </c>
    </row>
    <row r="26" spans="1:17" s="25" customFormat="1" x14ac:dyDescent="0.35">
      <c r="A26" s="36">
        <v>9</v>
      </c>
      <c r="B26" s="25">
        <v>15</v>
      </c>
      <c r="C26" s="25">
        <v>35</v>
      </c>
      <c r="D26" s="25">
        <v>4</v>
      </c>
      <c r="E26" s="25">
        <v>50</v>
      </c>
      <c r="F26" s="37" t="s">
        <v>38</v>
      </c>
      <c r="G26" s="25">
        <v>100</v>
      </c>
      <c r="H26" s="25">
        <v>40</v>
      </c>
      <c r="I26" s="25">
        <v>6</v>
      </c>
      <c r="J26" s="38">
        <v>0.5</v>
      </c>
      <c r="K26" s="25">
        <f t="shared" si="3"/>
        <v>40</v>
      </c>
      <c r="L26" s="25">
        <f t="shared" si="2"/>
        <v>6</v>
      </c>
      <c r="M26" s="38">
        <v>0.5</v>
      </c>
      <c r="P26" s="5">
        <v>80</v>
      </c>
      <c r="Q26" s="25">
        <v>12</v>
      </c>
    </row>
    <row r="27" spans="1:17" x14ac:dyDescent="0.35">
      <c r="A27" s="12">
        <v>10</v>
      </c>
      <c r="B27">
        <v>15</v>
      </c>
      <c r="C27">
        <v>35</v>
      </c>
      <c r="D27">
        <v>4</v>
      </c>
      <c r="E27">
        <v>50</v>
      </c>
      <c r="F27" s="22" t="s">
        <v>38</v>
      </c>
      <c r="G27">
        <v>100</v>
      </c>
      <c r="H27">
        <v>40</v>
      </c>
      <c r="I27">
        <v>5</v>
      </c>
      <c r="J27" s="31">
        <v>0.5</v>
      </c>
      <c r="K27">
        <f t="shared" si="3"/>
        <v>40</v>
      </c>
      <c r="L27">
        <f t="shared" si="2"/>
        <v>5</v>
      </c>
      <c r="M27" s="31">
        <v>0.5</v>
      </c>
      <c r="P27" s="5">
        <v>80</v>
      </c>
      <c r="Q27">
        <v>10</v>
      </c>
    </row>
    <row r="28" spans="1:17" x14ac:dyDescent="0.35">
      <c r="A28" s="12">
        <v>11</v>
      </c>
      <c r="B28">
        <v>15</v>
      </c>
      <c r="C28">
        <v>35</v>
      </c>
      <c r="D28">
        <v>4</v>
      </c>
      <c r="E28">
        <v>50</v>
      </c>
      <c r="F28" s="22" t="s">
        <v>38</v>
      </c>
      <c r="G28">
        <v>100</v>
      </c>
      <c r="H28">
        <v>40</v>
      </c>
      <c r="I28">
        <v>4</v>
      </c>
      <c r="J28" s="31">
        <v>0.5</v>
      </c>
      <c r="K28">
        <f t="shared" si="3"/>
        <v>40</v>
      </c>
      <c r="L28">
        <f t="shared" si="2"/>
        <v>4</v>
      </c>
      <c r="M28" s="31">
        <v>0.5</v>
      </c>
      <c r="P28" s="5">
        <v>80</v>
      </c>
      <c r="Q28">
        <v>8</v>
      </c>
    </row>
    <row r="29" spans="1:17" x14ac:dyDescent="0.35">
      <c r="A29" s="12">
        <v>12</v>
      </c>
      <c r="B29">
        <v>15</v>
      </c>
      <c r="C29">
        <v>35</v>
      </c>
      <c r="D29">
        <v>4</v>
      </c>
      <c r="E29">
        <v>50</v>
      </c>
      <c r="F29" s="22" t="s">
        <v>38</v>
      </c>
      <c r="G29">
        <v>100</v>
      </c>
      <c r="H29">
        <v>40</v>
      </c>
      <c r="I29">
        <v>5</v>
      </c>
      <c r="J29" s="31">
        <v>0.5</v>
      </c>
      <c r="K29">
        <f t="shared" si="3"/>
        <v>40</v>
      </c>
      <c r="L29">
        <f t="shared" si="2"/>
        <v>5</v>
      </c>
      <c r="M29" s="31">
        <v>0.5</v>
      </c>
      <c r="P29" s="5">
        <v>80</v>
      </c>
      <c r="Q29">
        <v>10</v>
      </c>
    </row>
    <row r="30" spans="1:17" x14ac:dyDescent="0.35">
      <c r="A30" s="12">
        <v>13</v>
      </c>
      <c r="B30">
        <v>15</v>
      </c>
      <c r="C30">
        <v>35</v>
      </c>
      <c r="D30">
        <v>4</v>
      </c>
      <c r="E30">
        <v>50</v>
      </c>
      <c r="F30" s="22" t="s">
        <v>38</v>
      </c>
      <c r="G30">
        <v>100</v>
      </c>
      <c r="H30">
        <v>43</v>
      </c>
      <c r="I30">
        <v>6</v>
      </c>
      <c r="J30" s="31">
        <v>0.5</v>
      </c>
      <c r="K30">
        <f t="shared" si="3"/>
        <v>42</v>
      </c>
      <c r="L30">
        <f t="shared" si="2"/>
        <v>7</v>
      </c>
      <c r="M30" s="31">
        <v>0.5</v>
      </c>
      <c r="P30" s="5">
        <v>85</v>
      </c>
      <c r="Q30">
        <v>13</v>
      </c>
    </row>
    <row r="31" spans="1:17" x14ac:dyDescent="0.35">
      <c r="A31" s="12">
        <v>14</v>
      </c>
      <c r="B31">
        <v>15</v>
      </c>
      <c r="C31">
        <v>35</v>
      </c>
      <c r="D31">
        <v>4</v>
      </c>
      <c r="E31">
        <v>50</v>
      </c>
      <c r="F31" s="22" t="s">
        <v>38</v>
      </c>
      <c r="G31">
        <v>100</v>
      </c>
      <c r="H31">
        <v>42</v>
      </c>
      <c r="I31">
        <v>5</v>
      </c>
      <c r="J31" s="31">
        <v>0.5</v>
      </c>
      <c r="K31">
        <f t="shared" si="3"/>
        <v>43</v>
      </c>
      <c r="L31">
        <f t="shared" si="2"/>
        <v>6</v>
      </c>
      <c r="M31" s="31">
        <v>0.5</v>
      </c>
      <c r="P31" s="5">
        <v>85</v>
      </c>
      <c r="Q31">
        <v>11</v>
      </c>
    </row>
    <row r="32" spans="1:17" x14ac:dyDescent="0.35">
      <c r="A32" s="12">
        <v>15</v>
      </c>
      <c r="B32">
        <v>15</v>
      </c>
      <c r="C32">
        <v>35</v>
      </c>
      <c r="D32">
        <v>4</v>
      </c>
      <c r="E32">
        <v>50</v>
      </c>
      <c r="F32" s="22" t="s">
        <v>38</v>
      </c>
      <c r="G32">
        <v>100</v>
      </c>
      <c r="H32">
        <v>43</v>
      </c>
      <c r="I32">
        <v>6</v>
      </c>
      <c r="J32" s="31">
        <v>0.5</v>
      </c>
      <c r="K32">
        <f t="shared" si="3"/>
        <v>42</v>
      </c>
      <c r="L32">
        <f t="shared" si="2"/>
        <v>6</v>
      </c>
      <c r="M32" s="31">
        <v>0.5</v>
      </c>
      <c r="P32" s="5">
        <v>85</v>
      </c>
      <c r="Q32">
        <v>12</v>
      </c>
    </row>
    <row r="33" spans="1:17" x14ac:dyDescent="0.35">
      <c r="A33" s="12">
        <v>16</v>
      </c>
      <c r="B33">
        <v>15</v>
      </c>
      <c r="C33">
        <v>35</v>
      </c>
      <c r="D33">
        <v>4</v>
      </c>
      <c r="E33">
        <v>50</v>
      </c>
      <c r="F33" s="22" t="s">
        <v>38</v>
      </c>
      <c r="G33">
        <v>100</v>
      </c>
      <c r="H33">
        <v>42</v>
      </c>
      <c r="I33">
        <v>7</v>
      </c>
      <c r="J33" s="31">
        <v>0.5</v>
      </c>
      <c r="K33">
        <f t="shared" si="3"/>
        <v>43</v>
      </c>
      <c r="L33">
        <f t="shared" si="2"/>
        <v>8</v>
      </c>
      <c r="M33" s="31">
        <v>0.5</v>
      </c>
      <c r="P33" s="5">
        <v>85</v>
      </c>
      <c r="Q33">
        <v>15</v>
      </c>
    </row>
    <row r="34" spans="1:17" x14ac:dyDescent="0.35">
      <c r="A34" s="12">
        <v>17</v>
      </c>
      <c r="B34">
        <v>15</v>
      </c>
      <c r="C34">
        <v>35</v>
      </c>
      <c r="D34">
        <v>4</v>
      </c>
      <c r="E34">
        <v>50</v>
      </c>
      <c r="F34" s="22" t="s">
        <v>38</v>
      </c>
      <c r="G34">
        <v>100</v>
      </c>
      <c r="H34">
        <v>45</v>
      </c>
      <c r="I34">
        <v>4</v>
      </c>
      <c r="J34" s="31">
        <v>0.5</v>
      </c>
      <c r="K34">
        <f t="shared" si="3"/>
        <v>45</v>
      </c>
      <c r="L34">
        <f t="shared" si="2"/>
        <v>4</v>
      </c>
      <c r="M34" s="31">
        <v>0.5</v>
      </c>
      <c r="P34" s="5">
        <v>90</v>
      </c>
      <c r="Q34">
        <v>8</v>
      </c>
    </row>
    <row r="35" spans="1:17" x14ac:dyDescent="0.35">
      <c r="A35" s="12">
        <v>18</v>
      </c>
      <c r="B35">
        <v>15</v>
      </c>
      <c r="C35">
        <v>35</v>
      </c>
      <c r="D35">
        <v>4</v>
      </c>
      <c r="E35">
        <v>50</v>
      </c>
      <c r="F35" s="22" t="s">
        <v>38</v>
      </c>
      <c r="G35">
        <v>100</v>
      </c>
      <c r="H35">
        <v>45</v>
      </c>
      <c r="I35">
        <v>8</v>
      </c>
      <c r="J35" s="31">
        <v>0.5</v>
      </c>
      <c r="K35">
        <f t="shared" si="3"/>
        <v>45</v>
      </c>
      <c r="L35">
        <f t="shared" si="2"/>
        <v>7</v>
      </c>
      <c r="M35" s="31">
        <v>0.5</v>
      </c>
      <c r="P35" s="5">
        <v>90</v>
      </c>
      <c r="Q35">
        <v>15</v>
      </c>
    </row>
    <row r="36" spans="1:17" x14ac:dyDescent="0.35">
      <c r="A36" s="12">
        <v>19</v>
      </c>
      <c r="B36">
        <v>15</v>
      </c>
      <c r="C36">
        <v>35</v>
      </c>
      <c r="D36">
        <v>4</v>
      </c>
      <c r="E36">
        <v>50</v>
      </c>
      <c r="F36" s="22" t="s">
        <v>38</v>
      </c>
      <c r="G36">
        <v>100</v>
      </c>
      <c r="H36">
        <v>45</v>
      </c>
      <c r="I36">
        <v>7</v>
      </c>
      <c r="J36" s="31">
        <v>0.5</v>
      </c>
      <c r="K36">
        <f t="shared" si="3"/>
        <v>45</v>
      </c>
      <c r="L36">
        <f t="shared" si="2"/>
        <v>6</v>
      </c>
      <c r="M36" s="31">
        <v>0.5</v>
      </c>
      <c r="P36" s="5">
        <v>90</v>
      </c>
      <c r="Q36">
        <v>13</v>
      </c>
    </row>
    <row r="37" spans="1:17" x14ac:dyDescent="0.35">
      <c r="A37" s="12">
        <v>20</v>
      </c>
      <c r="B37">
        <v>15</v>
      </c>
      <c r="C37">
        <v>35</v>
      </c>
      <c r="D37">
        <v>4</v>
      </c>
      <c r="E37">
        <v>50</v>
      </c>
      <c r="F37" s="22" t="s">
        <v>38</v>
      </c>
      <c r="G37">
        <v>100</v>
      </c>
      <c r="H37">
        <v>45</v>
      </c>
      <c r="I37">
        <v>5</v>
      </c>
      <c r="J37" s="31">
        <v>0.5</v>
      </c>
      <c r="K37">
        <f t="shared" si="3"/>
        <v>45</v>
      </c>
      <c r="L37">
        <f t="shared" si="2"/>
        <v>5</v>
      </c>
      <c r="M37" s="31">
        <v>0.5</v>
      </c>
      <c r="P37" s="5">
        <v>90</v>
      </c>
      <c r="Q37">
        <v>10</v>
      </c>
    </row>
    <row r="38" spans="1:17" x14ac:dyDescent="0.35">
      <c r="A38" s="12">
        <v>21</v>
      </c>
      <c r="B38">
        <v>15</v>
      </c>
      <c r="C38">
        <v>35</v>
      </c>
      <c r="D38">
        <v>4</v>
      </c>
      <c r="E38">
        <v>50</v>
      </c>
      <c r="F38" s="22" t="s">
        <v>38</v>
      </c>
      <c r="G38">
        <v>100</v>
      </c>
      <c r="H38">
        <v>47</v>
      </c>
      <c r="I38">
        <v>7</v>
      </c>
      <c r="J38" s="31">
        <v>0.5</v>
      </c>
      <c r="K38">
        <f t="shared" si="3"/>
        <v>48</v>
      </c>
      <c r="L38">
        <f t="shared" si="2"/>
        <v>7</v>
      </c>
      <c r="M38" s="31">
        <v>0.5</v>
      </c>
      <c r="P38" s="5">
        <v>95</v>
      </c>
      <c r="Q38">
        <v>14</v>
      </c>
    </row>
    <row r="39" spans="1:17" x14ac:dyDescent="0.35">
      <c r="A39" s="12">
        <v>22</v>
      </c>
      <c r="B39">
        <v>15</v>
      </c>
      <c r="C39">
        <v>35</v>
      </c>
      <c r="D39">
        <v>4</v>
      </c>
      <c r="E39">
        <v>50</v>
      </c>
      <c r="F39" s="22" t="s">
        <v>38</v>
      </c>
      <c r="G39">
        <v>100</v>
      </c>
      <c r="H39">
        <v>47</v>
      </c>
      <c r="I39">
        <v>4</v>
      </c>
      <c r="J39" s="31">
        <v>0.5</v>
      </c>
      <c r="K39">
        <f t="shared" si="3"/>
        <v>48</v>
      </c>
      <c r="L39">
        <f t="shared" si="2"/>
        <v>3</v>
      </c>
      <c r="M39" s="31">
        <v>0.5</v>
      </c>
      <c r="P39" s="5">
        <v>95</v>
      </c>
      <c r="Q39">
        <v>7</v>
      </c>
    </row>
    <row r="40" spans="1:17" x14ac:dyDescent="0.35">
      <c r="A40" s="12">
        <v>23</v>
      </c>
      <c r="B40">
        <v>15</v>
      </c>
      <c r="C40">
        <v>35</v>
      </c>
      <c r="D40">
        <v>4</v>
      </c>
      <c r="E40">
        <v>50</v>
      </c>
      <c r="F40" s="22" t="s">
        <v>38</v>
      </c>
      <c r="G40">
        <v>100</v>
      </c>
      <c r="H40">
        <v>48</v>
      </c>
      <c r="I40">
        <v>3</v>
      </c>
      <c r="J40" s="31">
        <v>0.5</v>
      </c>
      <c r="K40">
        <f t="shared" si="3"/>
        <v>47</v>
      </c>
      <c r="L40">
        <f t="shared" si="2"/>
        <v>4</v>
      </c>
      <c r="M40" s="31">
        <v>0.5</v>
      </c>
      <c r="P40" s="5">
        <v>95</v>
      </c>
      <c r="Q40">
        <v>7</v>
      </c>
    </row>
    <row r="41" spans="1:17" s="25" customFormat="1" x14ac:dyDescent="0.35">
      <c r="A41" s="36">
        <v>24</v>
      </c>
      <c r="B41" s="25">
        <v>15</v>
      </c>
      <c r="C41" s="25">
        <v>35</v>
      </c>
      <c r="D41" s="25">
        <v>4</v>
      </c>
      <c r="E41" s="25">
        <v>50</v>
      </c>
      <c r="F41" s="37" t="s">
        <v>58</v>
      </c>
      <c r="G41" s="25">
        <v>100</v>
      </c>
      <c r="H41" s="25">
        <v>48</v>
      </c>
      <c r="I41" s="25">
        <v>6</v>
      </c>
      <c r="J41" s="38">
        <v>0.5</v>
      </c>
      <c r="K41" s="25">
        <f t="shared" si="3"/>
        <v>47</v>
      </c>
      <c r="L41" s="25">
        <f t="shared" si="2"/>
        <v>6</v>
      </c>
      <c r="M41" s="38">
        <v>0.5</v>
      </c>
      <c r="P41" s="5">
        <v>95</v>
      </c>
      <c r="Q41" s="25">
        <v>12</v>
      </c>
    </row>
    <row r="42" spans="1:17" x14ac:dyDescent="0.35">
      <c r="A42" s="12">
        <v>25</v>
      </c>
      <c r="B42">
        <v>15</v>
      </c>
      <c r="C42">
        <v>35</v>
      </c>
      <c r="D42">
        <v>4</v>
      </c>
      <c r="E42">
        <v>50</v>
      </c>
      <c r="F42" s="22" t="s">
        <v>58</v>
      </c>
      <c r="G42">
        <v>100</v>
      </c>
      <c r="H42">
        <v>50</v>
      </c>
      <c r="I42">
        <v>5</v>
      </c>
      <c r="J42" s="31">
        <v>0.5</v>
      </c>
      <c r="K42">
        <f t="shared" si="3"/>
        <v>50</v>
      </c>
      <c r="L42">
        <f t="shared" si="2"/>
        <v>4</v>
      </c>
      <c r="M42" s="31">
        <v>0.5</v>
      </c>
      <c r="P42" s="5">
        <v>100</v>
      </c>
      <c r="Q42">
        <v>9</v>
      </c>
    </row>
    <row r="43" spans="1:17" x14ac:dyDescent="0.35">
      <c r="A43" s="12">
        <v>26</v>
      </c>
      <c r="B43">
        <v>15</v>
      </c>
      <c r="C43">
        <v>35</v>
      </c>
      <c r="D43">
        <v>4</v>
      </c>
      <c r="E43">
        <v>50</v>
      </c>
      <c r="F43" s="37" t="s">
        <v>58</v>
      </c>
      <c r="G43">
        <v>100</v>
      </c>
      <c r="H43">
        <v>50</v>
      </c>
      <c r="I43">
        <v>8</v>
      </c>
      <c r="J43" s="31">
        <v>0.5</v>
      </c>
      <c r="K43">
        <f t="shared" si="3"/>
        <v>50</v>
      </c>
      <c r="L43">
        <f t="shared" si="2"/>
        <v>7</v>
      </c>
      <c r="M43" s="31">
        <v>0.5</v>
      </c>
      <c r="P43" s="5">
        <v>100</v>
      </c>
      <c r="Q43">
        <v>15</v>
      </c>
    </row>
    <row r="44" spans="1:17" x14ac:dyDescent="0.35">
      <c r="A44" s="12">
        <v>27</v>
      </c>
      <c r="B44">
        <v>15</v>
      </c>
      <c r="C44">
        <v>35</v>
      </c>
      <c r="D44">
        <v>4</v>
      </c>
      <c r="E44">
        <v>50</v>
      </c>
      <c r="F44" s="37" t="s">
        <v>58</v>
      </c>
      <c r="G44">
        <v>100</v>
      </c>
      <c r="H44">
        <v>50</v>
      </c>
      <c r="I44">
        <v>7</v>
      </c>
      <c r="J44" s="31">
        <v>0.5</v>
      </c>
      <c r="K44">
        <f t="shared" si="3"/>
        <v>50</v>
      </c>
      <c r="L44">
        <f t="shared" si="2"/>
        <v>6</v>
      </c>
      <c r="M44" s="31">
        <v>0.5</v>
      </c>
      <c r="P44" s="5">
        <v>100</v>
      </c>
      <c r="Q44">
        <v>13</v>
      </c>
    </row>
    <row r="45" spans="1:17" x14ac:dyDescent="0.35">
      <c r="A45" s="12">
        <v>28</v>
      </c>
      <c r="B45">
        <v>15</v>
      </c>
      <c r="C45">
        <v>35</v>
      </c>
      <c r="D45">
        <v>4</v>
      </c>
      <c r="E45">
        <v>50</v>
      </c>
      <c r="F45" s="37" t="s">
        <v>58</v>
      </c>
      <c r="G45">
        <v>100</v>
      </c>
      <c r="H45">
        <v>50</v>
      </c>
      <c r="I45">
        <v>2</v>
      </c>
      <c r="J45" s="31">
        <v>0.5</v>
      </c>
      <c r="K45">
        <f t="shared" si="3"/>
        <v>50</v>
      </c>
      <c r="L45">
        <f t="shared" si="2"/>
        <v>1</v>
      </c>
      <c r="M45" s="31">
        <v>0.5</v>
      </c>
      <c r="P45" s="5">
        <v>100</v>
      </c>
      <c r="Q45">
        <v>3</v>
      </c>
    </row>
    <row r="46" spans="1:17" x14ac:dyDescent="0.35">
      <c r="A46" s="12">
        <v>29</v>
      </c>
      <c r="B46">
        <v>15</v>
      </c>
      <c r="C46">
        <v>35</v>
      </c>
      <c r="D46">
        <v>4</v>
      </c>
      <c r="E46">
        <v>50</v>
      </c>
      <c r="F46" s="37" t="s">
        <v>58</v>
      </c>
      <c r="G46">
        <v>100</v>
      </c>
      <c r="H46">
        <v>53</v>
      </c>
      <c r="I46">
        <v>5</v>
      </c>
      <c r="J46" s="31">
        <v>0.5</v>
      </c>
      <c r="K46">
        <f t="shared" si="3"/>
        <v>52</v>
      </c>
      <c r="L46">
        <f t="shared" si="2"/>
        <v>5</v>
      </c>
      <c r="M46" s="31">
        <v>0.5</v>
      </c>
      <c r="P46" s="5">
        <v>105</v>
      </c>
      <c r="Q46">
        <v>10</v>
      </c>
    </row>
    <row r="47" spans="1:17" x14ac:dyDescent="0.35">
      <c r="A47" s="12">
        <v>30</v>
      </c>
      <c r="B47">
        <v>15</v>
      </c>
      <c r="C47">
        <v>35</v>
      </c>
      <c r="D47">
        <v>4</v>
      </c>
      <c r="E47">
        <v>50</v>
      </c>
      <c r="F47" s="37" t="s">
        <v>58</v>
      </c>
      <c r="G47">
        <v>100</v>
      </c>
      <c r="H47">
        <v>52</v>
      </c>
      <c r="I47">
        <v>4</v>
      </c>
      <c r="J47" s="31">
        <v>0.5</v>
      </c>
      <c r="K47">
        <f t="shared" si="3"/>
        <v>53</v>
      </c>
      <c r="L47">
        <f t="shared" si="2"/>
        <v>5</v>
      </c>
      <c r="M47" s="31">
        <v>0.5</v>
      </c>
      <c r="P47" s="5">
        <v>105</v>
      </c>
      <c r="Q47">
        <v>9</v>
      </c>
    </row>
    <row r="48" spans="1:17" x14ac:dyDescent="0.35">
      <c r="A48" s="12">
        <v>31</v>
      </c>
    </row>
    <row r="49" spans="1:1" x14ac:dyDescent="0.35">
      <c r="A49" s="12">
        <v>32</v>
      </c>
    </row>
    <row r="50" spans="1:1" x14ac:dyDescent="0.35">
      <c r="A50" s="12">
        <v>33</v>
      </c>
    </row>
    <row r="51" spans="1:1" x14ac:dyDescent="0.35">
      <c r="A51" s="12">
        <v>34</v>
      </c>
    </row>
    <row r="52" spans="1:1" x14ac:dyDescent="0.35">
      <c r="A52" s="12">
        <v>35</v>
      </c>
    </row>
    <row r="53" spans="1:1" x14ac:dyDescent="0.35">
      <c r="A53" s="12">
        <v>36</v>
      </c>
    </row>
    <row r="54" spans="1:1" x14ac:dyDescent="0.35">
      <c r="A54" s="12">
        <v>37</v>
      </c>
    </row>
    <row r="55" spans="1:1" x14ac:dyDescent="0.35">
      <c r="A55" s="12">
        <v>38</v>
      </c>
    </row>
    <row r="56" spans="1:1" x14ac:dyDescent="0.35">
      <c r="A56" s="12">
        <v>39</v>
      </c>
    </row>
    <row r="57" spans="1:1" x14ac:dyDescent="0.35">
      <c r="A57" s="12">
        <v>40</v>
      </c>
    </row>
    <row r="58" spans="1:1" x14ac:dyDescent="0.35">
      <c r="A58" s="12">
        <v>41</v>
      </c>
    </row>
    <row r="59" spans="1:1" x14ac:dyDescent="0.35">
      <c r="A59" s="12">
        <v>42</v>
      </c>
    </row>
    <row r="60" spans="1:1" x14ac:dyDescent="0.35">
      <c r="A60" s="12">
        <v>43</v>
      </c>
    </row>
    <row r="61" spans="1:1" x14ac:dyDescent="0.35">
      <c r="A61" s="12">
        <v>44</v>
      </c>
    </row>
    <row r="62" spans="1:1" x14ac:dyDescent="0.35">
      <c r="A62" s="12">
        <v>45</v>
      </c>
    </row>
    <row r="63" spans="1:1" x14ac:dyDescent="0.35">
      <c r="A63" s="12">
        <v>46</v>
      </c>
    </row>
    <row r="64" spans="1:1" x14ac:dyDescent="0.35">
      <c r="A64" s="12">
        <v>47</v>
      </c>
    </row>
    <row r="65" spans="1:1" x14ac:dyDescent="0.35">
      <c r="A65" s="12">
        <v>48</v>
      </c>
    </row>
    <row r="66" spans="1:1" x14ac:dyDescent="0.35">
      <c r="A66" s="12">
        <v>49</v>
      </c>
    </row>
    <row r="67" spans="1:1" x14ac:dyDescent="0.35">
      <c r="A67" s="12">
        <v>50</v>
      </c>
    </row>
    <row r="68" spans="1:1" x14ac:dyDescent="0.35">
      <c r="A68" s="12">
        <v>51</v>
      </c>
    </row>
    <row r="69" spans="1:1" x14ac:dyDescent="0.35">
      <c r="A69" s="12">
        <v>52</v>
      </c>
    </row>
    <row r="70" spans="1:1" x14ac:dyDescent="0.35">
      <c r="A70" s="12">
        <v>53</v>
      </c>
    </row>
    <row r="71" spans="1:1" x14ac:dyDescent="0.35">
      <c r="A71" s="12">
        <v>54</v>
      </c>
    </row>
    <row r="72" spans="1:1" x14ac:dyDescent="0.35">
      <c r="A72" s="12">
        <v>55</v>
      </c>
    </row>
    <row r="73" spans="1:1" x14ac:dyDescent="0.35">
      <c r="A73" s="12">
        <v>56</v>
      </c>
    </row>
    <row r="74" spans="1:1" x14ac:dyDescent="0.35">
      <c r="A74" s="12">
        <v>57</v>
      </c>
    </row>
    <row r="75" spans="1:1" x14ac:dyDescent="0.35">
      <c r="A75" s="12">
        <v>58</v>
      </c>
    </row>
    <row r="76" spans="1:1" x14ac:dyDescent="0.35">
      <c r="A76" s="12">
        <v>59</v>
      </c>
    </row>
    <row r="77" spans="1:1" x14ac:dyDescent="0.35">
      <c r="A77" s="12">
        <v>60</v>
      </c>
    </row>
  </sheetData>
  <phoneticPr fontId="5" type="noConversion"/>
  <conditionalFormatting sqref="P2:P17">
    <cfRule type="expression" dxfId="2" priority="3">
      <formula>"SUMME(H2;K2)"</formula>
    </cfRule>
    <cfRule type="cellIs" dxfId="1" priority="4" operator="equal">
      <formula>"H2+K2"</formula>
    </cfRule>
  </conditionalFormatting>
  <conditionalFormatting sqref="P2:Q77">
    <cfRule type="expression" dxfId="0" priority="1">
      <formula>P2=H2+K2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F58F-AFBA-41F9-B466-E8A7048B3449}">
  <dimension ref="A1:D77"/>
  <sheetViews>
    <sheetView workbookViewId="0">
      <selection activeCell="E4" sqref="E4"/>
    </sheetView>
  </sheetViews>
  <sheetFormatPr baseColWidth="10" defaultRowHeight="14.5" x14ac:dyDescent="0.35"/>
  <sheetData>
    <row r="1" spans="1:4" x14ac:dyDescent="0.35">
      <c r="A1" t="s">
        <v>50</v>
      </c>
      <c r="B1" t="s">
        <v>52</v>
      </c>
    </row>
    <row r="2" spans="1:4" x14ac:dyDescent="0.35">
      <c r="A2">
        <v>1</v>
      </c>
    </row>
    <row r="3" spans="1:4" x14ac:dyDescent="0.35">
      <c r="A3">
        <v>2</v>
      </c>
      <c r="B3" t="s">
        <v>51</v>
      </c>
    </row>
    <row r="4" spans="1:4" x14ac:dyDescent="0.35">
      <c r="A4">
        <v>3</v>
      </c>
      <c r="B4" t="s">
        <v>51</v>
      </c>
    </row>
    <row r="5" spans="1:4" x14ac:dyDescent="0.35">
      <c r="A5">
        <v>4</v>
      </c>
      <c r="B5" t="s">
        <v>51</v>
      </c>
    </row>
    <row r="6" spans="1:4" x14ac:dyDescent="0.35">
      <c r="A6">
        <v>5</v>
      </c>
      <c r="B6" t="s">
        <v>51</v>
      </c>
    </row>
    <row r="7" spans="1:4" x14ac:dyDescent="0.35">
      <c r="A7">
        <v>6</v>
      </c>
    </row>
    <row r="8" spans="1:4" x14ac:dyDescent="0.35">
      <c r="A8">
        <v>7</v>
      </c>
      <c r="D8" t="s">
        <v>57</v>
      </c>
    </row>
    <row r="9" spans="1:4" x14ac:dyDescent="0.35">
      <c r="A9">
        <v>8</v>
      </c>
      <c r="D9" t="s">
        <v>53</v>
      </c>
    </row>
    <row r="10" spans="1:4" x14ac:dyDescent="0.35">
      <c r="A10">
        <v>9</v>
      </c>
      <c r="D10" t="s">
        <v>54</v>
      </c>
    </row>
    <row r="11" spans="1:4" x14ac:dyDescent="0.35">
      <c r="A11">
        <v>10</v>
      </c>
      <c r="D11" t="s">
        <v>55</v>
      </c>
    </row>
    <row r="12" spans="1:4" x14ac:dyDescent="0.35">
      <c r="A12">
        <v>11</v>
      </c>
      <c r="D12" t="s">
        <v>56</v>
      </c>
    </row>
    <row r="13" spans="1:4" x14ac:dyDescent="0.35">
      <c r="A13">
        <v>12</v>
      </c>
    </row>
    <row r="14" spans="1:4" x14ac:dyDescent="0.35">
      <c r="A14">
        <v>13</v>
      </c>
    </row>
    <row r="15" spans="1:4" x14ac:dyDescent="0.35">
      <c r="A15">
        <v>14</v>
      </c>
    </row>
    <row r="16" spans="1:4" x14ac:dyDescent="0.35">
      <c r="A16">
        <v>15</v>
      </c>
    </row>
    <row r="17" spans="1:1" x14ac:dyDescent="0.35">
      <c r="A17">
        <v>16</v>
      </c>
    </row>
    <row r="18" spans="1:1" x14ac:dyDescent="0.35">
      <c r="A18">
        <v>17</v>
      </c>
    </row>
    <row r="19" spans="1:1" x14ac:dyDescent="0.35">
      <c r="A19">
        <v>18</v>
      </c>
    </row>
    <row r="20" spans="1:1" x14ac:dyDescent="0.35">
      <c r="A20">
        <v>19</v>
      </c>
    </row>
    <row r="21" spans="1:1" x14ac:dyDescent="0.35">
      <c r="A21">
        <v>20</v>
      </c>
    </row>
    <row r="22" spans="1:1" x14ac:dyDescent="0.35">
      <c r="A22">
        <v>21</v>
      </c>
    </row>
    <row r="23" spans="1:1" x14ac:dyDescent="0.35">
      <c r="A23">
        <v>22</v>
      </c>
    </row>
    <row r="24" spans="1:1" x14ac:dyDescent="0.35">
      <c r="A24">
        <v>23</v>
      </c>
    </row>
    <row r="25" spans="1:1" x14ac:dyDescent="0.35">
      <c r="A25">
        <v>24</v>
      </c>
    </row>
    <row r="26" spans="1:1" x14ac:dyDescent="0.35">
      <c r="A26">
        <v>25</v>
      </c>
    </row>
    <row r="27" spans="1:1" x14ac:dyDescent="0.35">
      <c r="A27">
        <v>26</v>
      </c>
    </row>
    <row r="28" spans="1:1" x14ac:dyDescent="0.35">
      <c r="A28">
        <v>27</v>
      </c>
    </row>
    <row r="29" spans="1:1" x14ac:dyDescent="0.35">
      <c r="A29">
        <v>28</v>
      </c>
    </row>
    <row r="30" spans="1:1" x14ac:dyDescent="0.35">
      <c r="A30">
        <v>29</v>
      </c>
    </row>
    <row r="31" spans="1:1" x14ac:dyDescent="0.35">
      <c r="A31">
        <v>30</v>
      </c>
    </row>
    <row r="32" spans="1:1" x14ac:dyDescent="0.35">
      <c r="A32">
        <v>31</v>
      </c>
    </row>
    <row r="33" spans="1:1" x14ac:dyDescent="0.35">
      <c r="A33">
        <v>32</v>
      </c>
    </row>
    <row r="34" spans="1:1" x14ac:dyDescent="0.35">
      <c r="A34">
        <v>33</v>
      </c>
    </row>
    <row r="35" spans="1:1" x14ac:dyDescent="0.35">
      <c r="A35">
        <v>34</v>
      </c>
    </row>
    <row r="36" spans="1:1" x14ac:dyDescent="0.35">
      <c r="A36">
        <v>35</v>
      </c>
    </row>
    <row r="37" spans="1:1" x14ac:dyDescent="0.35">
      <c r="A37">
        <v>36</v>
      </c>
    </row>
    <row r="38" spans="1:1" x14ac:dyDescent="0.35">
      <c r="A38">
        <v>37</v>
      </c>
    </row>
    <row r="39" spans="1:1" x14ac:dyDescent="0.35">
      <c r="A39">
        <v>38</v>
      </c>
    </row>
    <row r="40" spans="1:1" x14ac:dyDescent="0.35">
      <c r="A40">
        <v>39</v>
      </c>
    </row>
    <row r="41" spans="1:1" x14ac:dyDescent="0.35">
      <c r="A41">
        <v>40</v>
      </c>
    </row>
    <row r="42" spans="1:1" x14ac:dyDescent="0.35">
      <c r="A42">
        <v>41</v>
      </c>
    </row>
    <row r="43" spans="1:1" x14ac:dyDescent="0.35">
      <c r="A43">
        <v>42</v>
      </c>
    </row>
    <row r="44" spans="1:1" x14ac:dyDescent="0.35">
      <c r="A44">
        <v>43</v>
      </c>
    </row>
    <row r="45" spans="1:1" x14ac:dyDescent="0.35">
      <c r="A45">
        <v>44</v>
      </c>
    </row>
    <row r="46" spans="1:1" x14ac:dyDescent="0.35">
      <c r="A46">
        <v>45</v>
      </c>
    </row>
    <row r="47" spans="1:1" x14ac:dyDescent="0.35">
      <c r="A47">
        <v>46</v>
      </c>
    </row>
    <row r="48" spans="1:1" x14ac:dyDescent="0.35">
      <c r="A48">
        <v>47</v>
      </c>
    </row>
    <row r="49" spans="1:1" x14ac:dyDescent="0.35">
      <c r="A49">
        <v>48</v>
      </c>
    </row>
    <row r="50" spans="1:1" x14ac:dyDescent="0.35">
      <c r="A50">
        <v>49</v>
      </c>
    </row>
    <row r="51" spans="1:1" x14ac:dyDescent="0.35">
      <c r="A51">
        <v>50</v>
      </c>
    </row>
    <row r="52" spans="1:1" x14ac:dyDescent="0.35">
      <c r="A52">
        <v>51</v>
      </c>
    </row>
    <row r="53" spans="1:1" x14ac:dyDescent="0.35">
      <c r="A53">
        <v>52</v>
      </c>
    </row>
    <row r="54" spans="1:1" x14ac:dyDescent="0.35">
      <c r="A54">
        <v>53</v>
      </c>
    </row>
    <row r="55" spans="1:1" x14ac:dyDescent="0.35">
      <c r="A55">
        <v>54</v>
      </c>
    </row>
    <row r="56" spans="1:1" x14ac:dyDescent="0.35">
      <c r="A56">
        <v>55</v>
      </c>
    </row>
    <row r="57" spans="1:1" x14ac:dyDescent="0.35">
      <c r="A57">
        <v>56</v>
      </c>
    </row>
    <row r="58" spans="1:1" x14ac:dyDescent="0.35">
      <c r="A58">
        <v>57</v>
      </c>
    </row>
    <row r="59" spans="1:1" x14ac:dyDescent="0.35">
      <c r="A59">
        <v>58</v>
      </c>
    </row>
    <row r="60" spans="1:1" x14ac:dyDescent="0.35">
      <c r="A60">
        <v>59</v>
      </c>
    </row>
    <row r="61" spans="1:1" x14ac:dyDescent="0.35">
      <c r="A61">
        <v>60</v>
      </c>
    </row>
    <row r="62" spans="1:1" x14ac:dyDescent="0.35">
      <c r="A62">
        <v>61</v>
      </c>
    </row>
    <row r="63" spans="1:1" x14ac:dyDescent="0.35">
      <c r="A63">
        <v>62</v>
      </c>
    </row>
    <row r="64" spans="1:1" x14ac:dyDescent="0.35">
      <c r="A64">
        <v>63</v>
      </c>
    </row>
    <row r="65" spans="1:1" x14ac:dyDescent="0.35">
      <c r="A65">
        <v>64</v>
      </c>
    </row>
    <row r="66" spans="1:1" x14ac:dyDescent="0.35">
      <c r="A66">
        <v>65</v>
      </c>
    </row>
    <row r="67" spans="1:1" x14ac:dyDescent="0.35">
      <c r="A67">
        <v>66</v>
      </c>
    </row>
    <row r="68" spans="1:1" x14ac:dyDescent="0.35">
      <c r="A68">
        <v>67</v>
      </c>
    </row>
    <row r="69" spans="1:1" x14ac:dyDescent="0.35">
      <c r="A69">
        <v>68</v>
      </c>
    </row>
    <row r="70" spans="1:1" x14ac:dyDescent="0.35">
      <c r="A70">
        <v>69</v>
      </c>
    </row>
    <row r="71" spans="1:1" x14ac:dyDescent="0.35">
      <c r="A71">
        <v>70</v>
      </c>
    </row>
    <row r="72" spans="1:1" x14ac:dyDescent="0.35">
      <c r="A72">
        <v>71</v>
      </c>
    </row>
    <row r="73" spans="1:1" x14ac:dyDescent="0.35">
      <c r="A73">
        <v>72</v>
      </c>
    </row>
    <row r="74" spans="1:1" x14ac:dyDescent="0.35">
      <c r="A74">
        <v>73</v>
      </c>
    </row>
    <row r="75" spans="1:1" x14ac:dyDescent="0.35">
      <c r="A75">
        <v>74</v>
      </c>
    </row>
    <row r="76" spans="1:1" x14ac:dyDescent="0.35">
      <c r="A76">
        <v>75</v>
      </c>
    </row>
    <row r="77" spans="1:1" x14ac:dyDescent="0.35">
      <c r="A77">
        <v>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Training</vt:lpstr>
      <vt:lpstr>PrePO</vt:lpstr>
      <vt:lpstr>PostPO</vt:lpstr>
      <vt:lpstr>Generator Settings</vt:lpstr>
      <vt:lpstr>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Spier, Anna</dc:creator>
  <cp:lastModifiedBy>Spier, Anna</cp:lastModifiedBy>
  <dcterms:created xsi:type="dcterms:W3CDTF">2026-08-25T18:49:28Z</dcterms:created>
  <dcterms:modified xsi:type="dcterms:W3CDTF">2026-08-31T15:11:11Z</dcterms:modified>
</cp:coreProperties>
</file>